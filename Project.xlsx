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A2083FA2-BE89-594B-B1AF-01EC35EFBD13}" xr6:coauthVersionLast="47" xr6:coauthVersionMax="47" xr10:uidLastSave="{00000000-0000-0000-0000-000000000000}"/>
  <bookViews>
    <workbookView xWindow="0" yWindow="0" windowWidth="28800" windowHeight="18000" xr2:uid="{807A84E5-F1F2-DF4C-B6C1-AE93B919FCB2}"/>
  </bookViews>
  <sheets>
    <sheet name="Question 1" sheetId="1" r:id="rId1"/>
  </sheets>
  <externalReferences>
    <externalReference r:id="rId2"/>
  </externalReferences>
  <definedNames>
    <definedName name="solver_adj" localSheetId="0" hidden="1">'Question 1'!$Z$4:$Z$6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'Question 1'!$Z$7</definedName>
    <definedName name="solver_lhs2" localSheetId="0" hidden="1">'Question 1'!$Z$7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'Question 1'!$AA$16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1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1" l="1"/>
  <c r="AE32" i="1"/>
  <c r="AE38" i="1"/>
  <c r="AE40" i="1" s="1"/>
  <c r="Z40" i="1" s="1"/>
  <c r="Z32" i="1"/>
  <c r="Z36" i="1"/>
  <c r="AA13" i="1"/>
  <c r="AD2" i="1"/>
  <c r="AC2" i="1"/>
  <c r="AB2" i="1"/>
  <c r="Z7" i="1"/>
  <c r="V4" i="1"/>
  <c r="W4" i="1"/>
  <c r="X4" i="1"/>
  <c r="X129" i="1" s="1"/>
  <c r="V5" i="1"/>
  <c r="W5" i="1"/>
  <c r="X5" i="1"/>
  <c r="V6" i="1"/>
  <c r="W6" i="1"/>
  <c r="X6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/>
  <c r="X2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/>
  <c r="X35" i="1"/>
  <c r="V36" i="1"/>
  <c r="W36" i="1"/>
  <c r="X36" i="1"/>
  <c r="V37" i="1"/>
  <c r="W37" i="1"/>
  <c r="X37" i="1"/>
  <c r="V38" i="1"/>
  <c r="W38" i="1"/>
  <c r="X38" i="1"/>
  <c r="V39" i="1"/>
  <c r="W39" i="1"/>
  <c r="X39" i="1"/>
  <c r="V40" i="1"/>
  <c r="W40" i="1"/>
  <c r="X40" i="1"/>
  <c r="V41" i="1"/>
  <c r="W41" i="1"/>
  <c r="X41" i="1"/>
  <c r="V42" i="1"/>
  <c r="W42" i="1"/>
  <c r="X42" i="1"/>
  <c r="V43" i="1"/>
  <c r="W43" i="1"/>
  <c r="X43" i="1"/>
  <c r="V44" i="1"/>
  <c r="W44" i="1"/>
  <c r="X44" i="1"/>
  <c r="V45" i="1"/>
  <c r="W45" i="1"/>
  <c r="X45" i="1"/>
  <c r="V46" i="1"/>
  <c r="W46" i="1"/>
  <c r="X46" i="1"/>
  <c r="V47" i="1"/>
  <c r="W47" i="1"/>
  <c r="X47" i="1"/>
  <c r="V48" i="1"/>
  <c r="W48" i="1"/>
  <c r="X48" i="1"/>
  <c r="V49" i="1"/>
  <c r="W49" i="1"/>
  <c r="X49" i="1"/>
  <c r="V50" i="1"/>
  <c r="W50" i="1"/>
  <c r="X50" i="1"/>
  <c r="V51" i="1"/>
  <c r="W51" i="1"/>
  <c r="X51" i="1"/>
  <c r="V52" i="1"/>
  <c r="W52" i="1"/>
  <c r="X52" i="1"/>
  <c r="V53" i="1"/>
  <c r="W53" i="1"/>
  <c r="X53" i="1"/>
  <c r="V54" i="1"/>
  <c r="W54" i="1"/>
  <c r="X54" i="1"/>
  <c r="V55" i="1"/>
  <c r="W55" i="1"/>
  <c r="X55" i="1"/>
  <c r="V56" i="1"/>
  <c r="W56" i="1"/>
  <c r="X56" i="1"/>
  <c r="V57" i="1"/>
  <c r="W57" i="1"/>
  <c r="X57" i="1"/>
  <c r="V58" i="1"/>
  <c r="W58" i="1"/>
  <c r="X58" i="1"/>
  <c r="V59" i="1"/>
  <c r="W59" i="1"/>
  <c r="X59" i="1"/>
  <c r="V60" i="1"/>
  <c r="W60" i="1"/>
  <c r="X60" i="1"/>
  <c r="V61" i="1"/>
  <c r="W61" i="1"/>
  <c r="X61" i="1"/>
  <c r="V62" i="1"/>
  <c r="W62" i="1"/>
  <c r="X62" i="1"/>
  <c r="V63" i="1"/>
  <c r="W63" i="1"/>
  <c r="X63" i="1"/>
  <c r="V64" i="1"/>
  <c r="W64" i="1"/>
  <c r="X64" i="1"/>
  <c r="V65" i="1"/>
  <c r="W65" i="1"/>
  <c r="X65" i="1"/>
  <c r="V66" i="1"/>
  <c r="W66" i="1"/>
  <c r="X66" i="1"/>
  <c r="V67" i="1"/>
  <c r="W67" i="1"/>
  <c r="X67" i="1"/>
  <c r="V68" i="1"/>
  <c r="W68" i="1"/>
  <c r="X68" i="1"/>
  <c r="V69" i="1"/>
  <c r="W69" i="1"/>
  <c r="X69" i="1"/>
  <c r="V70" i="1"/>
  <c r="W70" i="1"/>
  <c r="X70" i="1"/>
  <c r="V71" i="1"/>
  <c r="W71" i="1"/>
  <c r="X71" i="1"/>
  <c r="V72" i="1"/>
  <c r="W72" i="1"/>
  <c r="X72" i="1"/>
  <c r="V73" i="1"/>
  <c r="W73" i="1"/>
  <c r="X73" i="1"/>
  <c r="V74" i="1"/>
  <c r="W74" i="1"/>
  <c r="X74" i="1"/>
  <c r="V75" i="1"/>
  <c r="W75" i="1"/>
  <c r="X75" i="1"/>
  <c r="V76" i="1"/>
  <c r="W76" i="1"/>
  <c r="X76" i="1"/>
  <c r="V77" i="1"/>
  <c r="W77" i="1"/>
  <c r="X77" i="1"/>
  <c r="V78" i="1"/>
  <c r="W78" i="1"/>
  <c r="X78" i="1"/>
  <c r="V79" i="1"/>
  <c r="W79" i="1"/>
  <c r="X79" i="1"/>
  <c r="V80" i="1"/>
  <c r="W80" i="1"/>
  <c r="X80" i="1"/>
  <c r="V81" i="1"/>
  <c r="W81" i="1"/>
  <c r="X81" i="1"/>
  <c r="V82" i="1"/>
  <c r="W82" i="1"/>
  <c r="X82" i="1"/>
  <c r="V83" i="1"/>
  <c r="W83" i="1"/>
  <c r="X83" i="1"/>
  <c r="V84" i="1"/>
  <c r="W84" i="1"/>
  <c r="X84" i="1"/>
  <c r="V85" i="1"/>
  <c r="W85" i="1"/>
  <c r="X85" i="1"/>
  <c r="V86" i="1"/>
  <c r="W86" i="1"/>
  <c r="X86" i="1"/>
  <c r="V87" i="1"/>
  <c r="W87" i="1"/>
  <c r="X87" i="1"/>
  <c r="V88" i="1"/>
  <c r="W88" i="1"/>
  <c r="X88" i="1"/>
  <c r="V89" i="1"/>
  <c r="W89" i="1"/>
  <c r="X89" i="1"/>
  <c r="V90" i="1"/>
  <c r="W90" i="1"/>
  <c r="X90" i="1"/>
  <c r="V91" i="1"/>
  <c r="W91" i="1"/>
  <c r="X91" i="1"/>
  <c r="V92" i="1"/>
  <c r="W92" i="1"/>
  <c r="X92" i="1"/>
  <c r="V93" i="1"/>
  <c r="W93" i="1"/>
  <c r="X93" i="1"/>
  <c r="V94" i="1"/>
  <c r="W94" i="1"/>
  <c r="X94" i="1"/>
  <c r="V95" i="1"/>
  <c r="W95" i="1"/>
  <c r="X95" i="1"/>
  <c r="V96" i="1"/>
  <c r="W96" i="1"/>
  <c r="X96" i="1"/>
  <c r="V97" i="1"/>
  <c r="W97" i="1"/>
  <c r="X97" i="1"/>
  <c r="V98" i="1"/>
  <c r="W98" i="1"/>
  <c r="X98" i="1"/>
  <c r="V99" i="1"/>
  <c r="W99" i="1"/>
  <c r="X99" i="1"/>
  <c r="V100" i="1"/>
  <c r="W100" i="1"/>
  <c r="X100" i="1"/>
  <c r="V101" i="1"/>
  <c r="W101" i="1"/>
  <c r="X101" i="1"/>
  <c r="V102" i="1"/>
  <c r="W102" i="1"/>
  <c r="X102" i="1"/>
  <c r="V103" i="1"/>
  <c r="W103" i="1"/>
  <c r="X103" i="1"/>
  <c r="V104" i="1"/>
  <c r="W104" i="1"/>
  <c r="X104" i="1"/>
  <c r="V105" i="1"/>
  <c r="W105" i="1"/>
  <c r="X105" i="1"/>
  <c r="V106" i="1"/>
  <c r="W106" i="1"/>
  <c r="X106" i="1"/>
  <c r="V107" i="1"/>
  <c r="W107" i="1"/>
  <c r="X107" i="1"/>
  <c r="V108" i="1"/>
  <c r="W108" i="1"/>
  <c r="X108" i="1"/>
  <c r="V109" i="1"/>
  <c r="W109" i="1"/>
  <c r="X109" i="1"/>
  <c r="V110" i="1"/>
  <c r="W110" i="1"/>
  <c r="X110" i="1"/>
  <c r="V111" i="1"/>
  <c r="W111" i="1"/>
  <c r="X111" i="1"/>
  <c r="V112" i="1"/>
  <c r="W112" i="1"/>
  <c r="X112" i="1"/>
  <c r="V113" i="1"/>
  <c r="W113" i="1"/>
  <c r="X113" i="1"/>
  <c r="V114" i="1"/>
  <c r="W114" i="1"/>
  <c r="X114" i="1"/>
  <c r="V115" i="1"/>
  <c r="W115" i="1"/>
  <c r="X115" i="1"/>
  <c r="V116" i="1"/>
  <c r="W116" i="1"/>
  <c r="X116" i="1"/>
  <c r="V117" i="1"/>
  <c r="W117" i="1"/>
  <c r="X117" i="1"/>
  <c r="V118" i="1"/>
  <c r="W118" i="1"/>
  <c r="X118" i="1"/>
  <c r="V119" i="1"/>
  <c r="W119" i="1"/>
  <c r="X119" i="1"/>
  <c r="V120" i="1"/>
  <c r="W120" i="1"/>
  <c r="X120" i="1"/>
  <c r="V121" i="1"/>
  <c r="W121" i="1"/>
  <c r="X121" i="1"/>
  <c r="V122" i="1"/>
  <c r="W122" i="1"/>
  <c r="X122" i="1"/>
  <c r="V123" i="1"/>
  <c r="W123" i="1"/>
  <c r="X123" i="1"/>
  <c r="V124" i="1"/>
  <c r="W124" i="1"/>
  <c r="X124" i="1"/>
  <c r="V125" i="1"/>
  <c r="W125" i="1"/>
  <c r="X125" i="1"/>
  <c r="V126" i="1"/>
  <c r="W126" i="1"/>
  <c r="X126" i="1"/>
  <c r="V127" i="1"/>
  <c r="W127" i="1"/>
  <c r="X127" i="1"/>
  <c r="X3" i="1"/>
  <c r="W3" i="1"/>
  <c r="V3" i="1"/>
  <c r="V129" i="1" s="1"/>
  <c r="V130" i="1" s="1"/>
  <c r="S4" i="1"/>
  <c r="L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4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AA22" i="1" l="1"/>
  <c r="X130" i="1"/>
  <c r="AE33" i="1"/>
  <c r="Z38" i="1"/>
  <c r="AD6" i="1"/>
  <c r="AA24" i="1" s="1"/>
  <c r="AA25" i="1" s="1"/>
  <c r="K4" i="1"/>
  <c r="M4" i="1" s="1"/>
  <c r="R4" i="1"/>
  <c r="T4" i="1" s="1"/>
  <c r="AC5" i="1"/>
  <c r="AB4" i="1"/>
  <c r="W129" i="1"/>
  <c r="D4" i="1"/>
  <c r="F4" i="1" s="1"/>
  <c r="AA9" i="1" l="1" a="1"/>
  <c r="AA9" i="1" s="1"/>
  <c r="AA16" i="1" a="1"/>
  <c r="AA16" i="1" s="1"/>
  <c r="AA17" i="1" s="1"/>
  <c r="Z33" i="1"/>
  <c r="AE34" i="1"/>
  <c r="AA21" i="1"/>
  <c r="W130" i="1"/>
  <c r="AA15" i="1" s="1"/>
  <c r="AE35" i="1" l="1"/>
  <c r="Z34" i="1"/>
  <c r="Z35" i="1" l="1"/>
  <c r="AE37" i="1"/>
  <c r="AE39" i="1" l="1"/>
  <c r="Z37" i="1"/>
  <c r="AE41" i="1" l="1"/>
  <c r="Z41" i="1" s="1"/>
  <c r="Z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<sst xmlns="http://schemas.openxmlformats.org/spreadsheetml/2006/main" count="439" uniqueCount="164">
  <si>
    <t xml:space="preserve">UnitedHealth Group Incorporated (UNH)
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</si>
  <si>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</si>
  <si>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</si>
  <si>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</si>
  <si>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</si>
  <si>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</si>
  <si>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</si>
  <si>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</si>
  <si>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</si>
  <si>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</si>
  <si>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</si>
  <si>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</si>
  <si>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</si>
  <si>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</si>
  <si>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</si>
  <si>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</si>
  <si>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</si>
  <si>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</si>
  <si>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</si>
  <si>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</si>
  <si>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</si>
  <si>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</si>
  <si>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</si>
  <si>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</si>
  <si>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</si>
  <si>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</si>
  <si>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</si>
  <si>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</si>
  <si>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</si>
  <si>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</si>
  <si>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</si>
  <si>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</si>
  <si>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</si>
  <si>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</si>
  <si>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</si>
  <si>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</si>
  <si>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</si>
  <si>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</si>
  <si>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</si>
  <si>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</si>
  <si>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</si>
  <si>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</si>
  <si>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</si>
  <si>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</si>
  <si>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</si>
  <si>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</si>
  <si>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</si>
  <si>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</si>
  <si>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</si>
  <si>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</si>
  <si>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</si>
  <si>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</si>
  <si>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</si>
  <si>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</si>
  <si>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</si>
  <si>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</si>
  <si>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</si>
  <si>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</si>
  <si>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</si>
  <si>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</si>
  <si>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</si>
  <si>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</si>
  <si>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</si>
  <si>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</si>
  <si>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</si>
  <si>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</si>
  <si>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</si>
  <si>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</si>
  <si>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</si>
  <si>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</si>
  <si>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</si>
  <si>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</si>
  <si>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</si>
  <si>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</si>
  <si>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</si>
  <si>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</si>
  <si>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</si>
  <si>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</si>
  <si>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</si>
  <si>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</si>
  <si>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</si>
  <si>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</si>
  <si>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</si>
  <si>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</si>
  <si>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</si>
  <si>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</si>
  <si>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</si>
  <si>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</si>
  <si>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</si>
  <si>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</si>
  <si>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</si>
  <si>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</si>
  <si>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</si>
  <si>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</si>
  <si>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</si>
  <si>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</si>
  <si>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</si>
  <si>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</si>
  <si>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</si>
  <si>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</si>
  <si>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</si>
  <si>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</si>
  <si>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</si>
  <si>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</si>
  <si>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</si>
  <si>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</si>
  <si>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</si>
  <si>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</si>
  <si>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</si>
  <si>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</si>
  <si>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</si>
  <si>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</si>
  <si>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</si>
  <si>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</si>
  <si>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</si>
  <si>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</si>
  <si>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</si>
  <si>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</si>
  <si>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</si>
  <si>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</si>
  <si>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</si>
  <si>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</si>
  <si>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</si>
  <si>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</si>
  <si>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</si>
  <si>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</si>
  <si>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</si>
  <si>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 xml:space="preserve">NVIDIA Corporation (NVDA)
</t>
  </si>
  <si>
    <t>The Goldman Sachs Group, Inc. (GS)</t>
  </si>
  <si>
    <t>Source: Yahoo Finance</t>
  </si>
  <si>
    <t>Date</t>
  </si>
  <si>
    <t>Closing Price</t>
  </si>
  <si>
    <t>Daily return</t>
  </si>
  <si>
    <t>Daily Volatility</t>
  </si>
  <si>
    <t>CAGR</t>
  </si>
  <si>
    <t>Annualized Volatility</t>
  </si>
  <si>
    <t>º</t>
  </si>
  <si>
    <t>UNH</t>
  </si>
  <si>
    <t>NVDA</t>
  </si>
  <si>
    <t>GS</t>
  </si>
  <si>
    <t xml:space="preserve">covariance matrix </t>
  </si>
  <si>
    <t>Global Minimum Variance Portfolio (GMVP)</t>
  </si>
  <si>
    <t>Weights</t>
  </si>
  <si>
    <t>February 20, 2025, the 6-month U.S. Treasury Bill</t>
  </si>
  <si>
    <t>Source</t>
  </si>
  <si>
    <t>https://home.treasury.gov/resource-center/data-chart-center/interest-rates/TextView?field_tdr_date_value=2025&amp;type=daily_treasury_bill_rates</t>
  </si>
  <si>
    <t>Return (Daily)</t>
  </si>
  <si>
    <t>Annualized expected return</t>
  </si>
  <si>
    <t xml:space="preserve"> Annualized Portfolio Expected return</t>
  </si>
  <si>
    <t>Annualized  Portfolio Standard Deviation</t>
  </si>
  <si>
    <t>Sharpe ratio</t>
  </si>
  <si>
    <t>Risk-Free Rate (Daily)</t>
  </si>
  <si>
    <t>Excess returns</t>
  </si>
  <si>
    <t>NVDA Excess Return</t>
  </si>
  <si>
    <t>GS Excess Return</t>
  </si>
  <si>
    <t>NVDA Weight</t>
  </si>
  <si>
    <t>GS Weight</t>
  </si>
  <si>
    <t>Data to draw the Efficient Frontier Curve</t>
  </si>
  <si>
    <t>CAL (Er)</t>
  </si>
  <si>
    <t>E(Rp)</t>
  </si>
  <si>
    <t>Standard Dev</t>
  </si>
  <si>
    <t>Minimum Variance Portfolio</t>
  </si>
  <si>
    <t>Optimal Portfolio</t>
  </si>
  <si>
    <t>increments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</si>
</sst>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00%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3" fontId="3" fillId="0" borderId="0" xfId="0" applyNumberFormat="1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0" borderId="14" xfId="0" applyFont="1" applyBorder="1"/>
    <xf numFmtId="10" fontId="3" fillId="0" borderId="9" xfId="1" applyNumberFormat="1" applyFont="1" applyBorder="1"/>
    <xf numFmtId="10" fontId="3" fillId="0" borderId="15" xfId="1" applyNumberFormat="1" applyFont="1" applyBorder="1"/>
    <xf numFmtId="10" fontId="3" fillId="0" borderId="10" xfId="1" applyNumberFormat="1" applyFont="1" applyBorder="1"/>
    <xf numFmtId="0" fontId="0" fillId="0" borderId="13" xfId="0" applyBorder="1"/>
    <xf numFmtId="0" fontId="3" fillId="0" borderId="15" xfId="0" applyFont="1" applyBorder="1"/>
    <xf numFmtId="0" fontId="3" fillId="0" borderId="1" xfId="0" applyFont="1" applyBorder="1"/>
    <xf numFmtId="164" fontId="3" fillId="0" borderId="16" xfId="0" applyNumberFormat="1" applyFont="1" applyBorder="1"/>
    <xf numFmtId="0" fontId="0" fillId="0" borderId="17" xfId="0" applyBorder="1"/>
    <xf numFmtId="0" fontId="0" fillId="0" borderId="16" xfId="0" applyBorder="1"/>
    <xf numFmtId="10" fontId="0" fillId="0" borderId="10" xfId="1" applyNumberFormat="1" applyFont="1" applyBorder="1"/>
    <xf numFmtId="0" fontId="0" fillId="0" borderId="15" xfId="0" applyBorder="1"/>
    <xf numFmtId="0" fontId="5" fillId="0" borderId="19" xfId="0" applyFon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165" fontId="0" fillId="0" borderId="0" xfId="1" applyNumberFormat="1" applyFont="1"/>
    <xf numFmtId="10" fontId="0" fillId="0" borderId="0" xfId="1" applyNumberFormat="1" applyFont="1"/>
    <xf numFmtId="2" fontId="0" fillId="0" borderId="0" xfId="0" applyNumberFormat="1"/>
    <xf numFmtId="0" fontId="0" fillId="0" borderId="20" xfId="0" applyBorder="1"/>
    <xf numFmtId="10" fontId="0" fillId="0" borderId="4" xfId="1" applyNumberFormat="1" applyFont="1" applyBorder="1"/>
    <xf numFmtId="10" fontId="0" fillId="0" borderId="4" xfId="0" applyNumberFormat="1" applyBorder="1"/>
    <xf numFmtId="0" fontId="6" fillId="0" borderId="4" xfId="2" applyBorder="1"/>
    <xf numFmtId="0" fontId="7" fillId="0" borderId="0" xfId="0" applyFont="1"/>
    <xf numFmtId="166" fontId="0" fillId="0" borderId="0" xfId="1" applyNumberFormat="1" applyFont="1"/>
    <xf numFmtId="166" fontId="0" fillId="0" borderId="0" xfId="0" applyNumberFormat="1"/>
    <xf numFmtId="165" fontId="7" fillId="0" borderId="11" xfId="1" applyNumberFormat="1" applyFont="1" applyFill="1" applyBorder="1" applyAlignment="1">
      <alignment horizontal="right"/>
    </xf>
    <xf numFmtId="9" fontId="0" fillId="0" borderId="11" xfId="1" applyFont="1" applyFill="1" applyBorder="1"/>
    <xf numFmtId="10" fontId="0" fillId="0" borderId="11" xfId="1" applyNumberFormat="1" applyFont="1" applyFill="1" applyBorder="1"/>
    <xf numFmtId="164" fontId="0" fillId="0" borderId="0" xfId="1" applyNumberFormat="1" applyFont="1" applyFill="1"/>
    <xf numFmtId="165" fontId="0" fillId="0" borderId="11" xfId="1" applyNumberFormat="1" applyFont="1" applyFill="1" applyBorder="1"/>
    <xf numFmtId="9" fontId="0" fillId="0" borderId="16" xfId="1" applyFont="1" applyBorder="1"/>
    <xf numFmtId="9" fontId="0" fillId="0" borderId="17" xfId="1" applyFont="1" applyBorder="1"/>
    <xf numFmtId="10" fontId="9" fillId="0" borderId="0" xfId="0" applyNumberFormat="1" applyFont="1"/>
    <xf numFmtId="0" fontId="9" fillId="0" borderId="0" xfId="0" applyFont="1"/>
    <xf numFmtId="0" fontId="8" fillId="0" borderId="19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2" fontId="0" fillId="0" borderId="0" xfId="1" applyNumberFormat="1" applyFont="1" applyFill="1"/>
    <xf numFmtId="9" fontId="0" fillId="0" borderId="0" xfId="1" applyFont="1" applyFill="1"/>
    <xf numFmtId="0" fontId="7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9" fontId="7" fillId="0" borderId="0" xfId="0" applyNumberFormat="1" applyFont="1"/>
    <xf numFmtId="0" fontId="8" fillId="0" borderId="23" xfId="0" applyFont="1" applyBorder="1" applyAlignment="1">
      <alignment horizontal="center"/>
    </xf>
    <xf numFmtId="0" fontId="8" fillId="0" borderId="0" xfId="0" applyFont="1" applyAlignment="1">
      <alignment horizontal="center"/>
    </xf>
    <xf numFmtId="9" fontId="7" fillId="0" borderId="11" xfId="0" applyNumberFormat="1" applyFont="1" applyBorder="1" applyAlignment="1">
      <alignment horizontal="right"/>
    </xf>
    <xf numFmtId="165" fontId="0" fillId="0" borderId="0" xfId="0" applyNumberFormat="1"/>
    <xf numFmtId="9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7" fillId="0" borderId="15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'Question 1'!$AE$31:$AE$41</c:f>
              <c:numCache>
                <c:formatCode>0.0%</c:formatCode>
                <c:ptCount val="11"/>
                <c:pt idx="0">
                  <c:v>4.8000000000000001E-2</c:v>
                </c:pt>
                <c:pt idx="1">
                  <c:v>5.2000000000000005E-2</c:v>
                </c:pt>
                <c:pt idx="2">
                  <c:v>5.6000000000000008E-2</c:v>
                </c:pt>
                <c:pt idx="3">
                  <c:v>6.0000000000000012E-2</c:v>
                </c:pt>
                <c:pt idx="4">
                  <c:v>6.4000000000000015E-2</c:v>
                </c:pt>
                <c:pt idx="5">
                  <c:v>6.6100000000000006E-2</c:v>
                </c:pt>
                <c:pt idx="6">
                  <c:v>6.8000000000000019E-2</c:v>
                </c:pt>
                <c:pt idx="7">
                  <c:v>7.010000000000001E-2</c:v>
                </c:pt>
                <c:pt idx="8">
                  <c:v>7.2000000000000022E-2</c:v>
                </c:pt>
                <c:pt idx="9">
                  <c:v>7.4100000000000013E-2</c:v>
                </c:pt>
                <c:pt idx="10">
                  <c:v>7.6000000000000026E-2</c:v>
                </c:pt>
              </c:numCache>
            </c:numRef>
          </c:xVal>
          <c:yVal>
            <c:numRef>
              <c:f>[1]Sheet1!$J$23:$J$33</c:f>
              <c:numCache>
                <c:formatCode>0.00%</c:formatCode>
                <c:ptCount val="11"/>
                <c:pt idx="0" formatCode="0.0%">
                  <c:v>9.8884729240982225E-2</c:v>
                </c:pt>
                <c:pt idx="1">
                  <c:v>0.12129027638131766</c:v>
                </c:pt>
                <c:pt idx="2">
                  <c:v>0.13243327648180925</c:v>
                </c:pt>
                <c:pt idx="3">
                  <c:v>0.14142387350883467</c:v>
                </c:pt>
                <c:pt idx="4">
                  <c:v>0.14935183700649482</c:v>
                </c:pt>
                <c:pt idx="5">
                  <c:v>0.15210369478734731</c:v>
                </c:pt>
                <c:pt idx="6">
                  <c:v>0.15663225001627157</c:v>
                </c:pt>
                <c:pt idx="7">
                  <c:v>0.16347362591157028</c:v>
                </c:pt>
                <c:pt idx="8">
                  <c:v>0.16999631905690518</c:v>
                </c:pt>
                <c:pt idx="9">
                  <c:v>0.17627379335362975</c:v>
                </c:pt>
                <c:pt idx="10">
                  <c:v>0.18235869632516444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3-624B-8FBD-5BA70438E272}"/>
            </c:ext>
          </c:extLst>
        </c:ser>
        <c:ser>
          <c:idx val="1"/>
          <c:order val="1"/>
          <c:tx>
            <c:v>CAL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'Question 1'!$AE$31:$AE$41</c:f>
              <c:numCache>
                <c:formatCode>0.0%</c:formatCode>
                <c:ptCount val="11"/>
                <c:pt idx="0">
                  <c:v>4.8000000000000001E-2</c:v>
                </c:pt>
                <c:pt idx="1">
                  <c:v>5.2000000000000005E-2</c:v>
                </c:pt>
                <c:pt idx="2">
                  <c:v>5.6000000000000008E-2</c:v>
                </c:pt>
                <c:pt idx="3">
                  <c:v>6.0000000000000012E-2</c:v>
                </c:pt>
                <c:pt idx="4">
                  <c:v>6.4000000000000015E-2</c:v>
                </c:pt>
                <c:pt idx="5">
                  <c:v>6.6100000000000006E-2</c:v>
                </c:pt>
                <c:pt idx="6">
                  <c:v>6.8000000000000019E-2</c:v>
                </c:pt>
                <c:pt idx="7">
                  <c:v>7.010000000000001E-2</c:v>
                </c:pt>
                <c:pt idx="8">
                  <c:v>7.2000000000000022E-2</c:v>
                </c:pt>
                <c:pt idx="9">
                  <c:v>7.4100000000000013E-2</c:v>
                </c:pt>
                <c:pt idx="10">
                  <c:v>7.6000000000000026E-2</c:v>
                </c:pt>
              </c:numCache>
            </c:numRef>
          </c:xVal>
          <c:yVal>
            <c:numRef>
              <c:f>'Question 1'!$Z$30:$Z$41</c:f>
              <c:numCache>
                <c:formatCode>0.0%</c:formatCode>
                <c:ptCount val="12"/>
                <c:pt idx="0" formatCode="0%">
                  <c:v>0.04</c:v>
                </c:pt>
                <c:pt idx="1">
                  <c:v>7.0342399999999999E-2</c:v>
                </c:pt>
                <c:pt idx="2">
                  <c:v>7.4537600000000009E-2</c:v>
                </c:pt>
                <c:pt idx="3">
                  <c:v>7.8732800000000006E-2</c:v>
                </c:pt>
                <c:pt idx="4">
                  <c:v>8.2928000000000016E-2</c:v>
                </c:pt>
                <c:pt idx="5">
                  <c:v>8.7123200000000012E-2</c:v>
                </c:pt>
                <c:pt idx="6">
                  <c:v>8.9325680000000005E-2</c:v>
                </c:pt>
                <c:pt idx="7">
                  <c:v>9.1318400000000022E-2</c:v>
                </c:pt>
                <c:pt idx="8">
                  <c:v>9.3520880000000015E-2</c:v>
                </c:pt>
                <c:pt idx="9">
                  <c:v>9.5513600000000018E-2</c:v>
                </c:pt>
                <c:pt idx="10">
                  <c:v>9.7716080000000011E-2</c:v>
                </c:pt>
                <c:pt idx="11">
                  <c:v>9.9708800000000028E-2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83-624B-8FBD-5BA70438E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17535"/>
        <c:axId val="211817055"/>
      </c:scatterChart>
      <c:valAx>
        <c:axId val="21181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17055"/>
        <c:crosses val="autoZero"/>
        <c:crossBetween val="midCat"/>
      </c:valAx>
      <c:valAx>
        <c:axId val="21181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Annual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1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142875</xdr:colOff>
      <xdr:row>30</xdr:row>
      <xdr:rowOff>19049</xdr:rowOff>
    </xdr:from>
    <xdr:to>
      <xdr:col>31</xdr:col>
      <xdr:colOff>523875</xdr:colOff>
      <xdr:row>30</xdr:row>
      <xdr:rowOff>200024</xdr:rowOff>
    </xdr:to>
    <xdr:sp macro="" textlink="">
      <xdr:nvSpPr>
        <xdr:cNvPr id="2" name="Arrow: Right 4">
          <a:extLst>
            <a:ext uri="{FF2B5EF4-FFF2-40B4-BE49-F238E27FC236}">
              <a16:creationId xmlns:a16="http://schemas.microsoft.com/office/drawing/2014/main" id="{FA45691A-08DC-034B-8A18-7AB7A8ADADE0}"/>
            </a:ext>
          </a:extLst>
        </xdr:cNvPr>
        <xdr:cNvSpPr/>
      </xdr:nvSpPr>
      <xdr:spPr>
        <a:xfrm>
          <a:off x="11991975" y="4324349"/>
          <a:ext cx="381000" cy="180975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104775</xdr:colOff>
      <xdr:row>35</xdr:row>
      <xdr:rowOff>28575</xdr:rowOff>
    </xdr:from>
    <xdr:to>
      <xdr:col>32</xdr:col>
      <xdr:colOff>457200</xdr:colOff>
      <xdr:row>35</xdr:row>
      <xdr:rowOff>171450</xdr:rowOff>
    </xdr:to>
    <xdr:sp macro="" textlink="">
      <xdr:nvSpPr>
        <xdr:cNvPr id="3" name="Arrow: Right 5">
          <a:extLst>
            <a:ext uri="{FF2B5EF4-FFF2-40B4-BE49-F238E27FC236}">
              <a16:creationId xmlns:a16="http://schemas.microsoft.com/office/drawing/2014/main" id="{B029F27B-FB16-FF4B-9C0E-3D5E05E4E5A5}"/>
            </a:ext>
          </a:extLst>
        </xdr:cNvPr>
        <xdr:cNvSpPr/>
      </xdr:nvSpPr>
      <xdr:spPr>
        <a:xfrm>
          <a:off x="13058775" y="5299075"/>
          <a:ext cx="352425" cy="142875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469900</xdr:colOff>
      <xdr:row>43</xdr:row>
      <xdr:rowOff>127000</xdr:rowOff>
    </xdr:from>
    <xdr:to>
      <xdr:col>31</xdr:col>
      <xdr:colOff>694210</xdr:colOff>
      <xdr:row>57</xdr:row>
      <xdr:rowOff>35728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B05840-BC22-E84F-AF42-DC759BF20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esktop/End%20Week%203%20Efficient%20Frontierxlsx.xlsx" TargetMode="External"/><Relationship Id="rId1" Type="http://schemas.openxmlformats.org/officeDocument/2006/relationships/externalLinkPath" Target="End%20Week%203%20Efficient%20Frontier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2">
          <cell r="F22">
            <v>0.02</v>
          </cell>
          <cell r="K22">
            <v>0</v>
          </cell>
        </row>
        <row r="23">
          <cell r="F23">
            <v>0.1200246462169679</v>
          </cell>
          <cell r="J23">
            <v>9.8884729240982225E-2</v>
          </cell>
          <cell r="K23">
            <v>9.5371387772838795E-2</v>
          </cell>
        </row>
        <row r="24">
          <cell r="F24">
            <v>0.12736618270783334</v>
          </cell>
          <cell r="J24">
            <v>0.12129027638131766</v>
          </cell>
          <cell r="K24">
            <v>0.1023713877728388</v>
          </cell>
        </row>
        <row r="25">
          <cell r="F25">
            <v>0.13470771919869881</v>
          </cell>
          <cell r="J25">
            <v>0.13243327648180925</v>
          </cell>
          <cell r="K25">
            <v>0.10937138777283881</v>
          </cell>
        </row>
        <row r="26">
          <cell r="F26">
            <v>0.14204925568956428</v>
          </cell>
          <cell r="J26">
            <v>0.14142387350883467</v>
          </cell>
          <cell r="K26">
            <v>0.11637138777283881</v>
          </cell>
        </row>
        <row r="27">
          <cell r="F27">
            <v>0.14939079218042972</v>
          </cell>
          <cell r="J27">
            <v>0.14935183700649482</v>
          </cell>
          <cell r="K27">
            <v>0.12337138777283882</v>
          </cell>
        </row>
        <row r="28">
          <cell r="F28">
            <v>0.15210369523253792</v>
          </cell>
          <cell r="J28">
            <v>0.15210369478734731</v>
          </cell>
          <cell r="K28">
            <v>0.12595808353991506</v>
          </cell>
        </row>
        <row r="29">
          <cell r="F29">
            <v>0.15673232867129519</v>
          </cell>
          <cell r="J29">
            <v>0.15663225001627157</v>
          </cell>
          <cell r="K29">
            <v>0.13037138777283883</v>
          </cell>
        </row>
        <row r="30">
          <cell r="F30">
            <v>0.16407386516216063</v>
          </cell>
          <cell r="J30">
            <v>0.16347362591157028</v>
          </cell>
          <cell r="K30">
            <v>0.13737138777283883</v>
          </cell>
        </row>
        <row r="31">
          <cell r="F31">
            <v>0.1714154016530261</v>
          </cell>
          <cell r="J31">
            <v>0.16999631905690518</v>
          </cell>
          <cell r="K31">
            <v>0.14437138777283884</v>
          </cell>
        </row>
        <row r="32">
          <cell r="F32">
            <v>0.17875693814389157</v>
          </cell>
          <cell r="J32">
            <v>0.17627379335362975</v>
          </cell>
          <cell r="K32">
            <v>0.15137138777283884</v>
          </cell>
        </row>
        <row r="33">
          <cell r="F33">
            <v>0.18609847463475701</v>
          </cell>
          <cell r="J33">
            <v>0.18235869632516444</v>
          </cell>
          <cell r="K33">
            <v>0.15837138777283885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home.treasury.gov/resource-center/data-chart-center/interest-rates/TextView?field_tdr_date_value=2025&amp;type=daily_treasury_bill_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DFBD-D159-BE44-8A2D-57E95BF1DFAB}">
  <dimension ref="A1:AI130"/>
  <sheetViews>
    <sheetView tabSelected="1" topLeftCell="U21" workbookViewId="0">
      <selection activeCell="Z31" sqref="Z31"/>
    </sheetView>
  </sheetViews>
  <sheetFormatPr baseColWidth="10" defaultRowHeight="16" x14ac:dyDescent="0.2"/>
  <cols>
    <col min="1" max="1" width="19.6640625" bestFit="1" customWidth="1"/>
    <col min="2" max="2" width="22.6640625" customWidth="1"/>
    <col min="3" max="3" width="11.6640625" bestFit="1" customWidth="1"/>
    <col min="4" max="6" width="22.6640625" customWidth="1"/>
    <col min="7" max="7" width="13.1640625" customWidth="1"/>
    <col min="8" max="8" width="13.33203125" bestFit="1" customWidth="1"/>
    <col min="9" max="9" width="12.6640625" bestFit="1" customWidth="1"/>
    <col min="10" max="10" width="12.6640625" customWidth="1"/>
    <col min="11" max="11" width="14" bestFit="1" customWidth="1"/>
    <col min="12" max="12" width="12.6640625" customWidth="1"/>
    <col min="13" max="13" width="19.83203125" bestFit="1" customWidth="1"/>
    <col min="15" max="15" width="13.33203125" bestFit="1" customWidth="1"/>
    <col min="16" max="16" width="21" customWidth="1"/>
    <col min="17" max="17" width="11" bestFit="1" customWidth="1"/>
    <col min="18" max="18" width="19.83203125" bestFit="1" customWidth="1"/>
    <col min="19" max="19" width="11" bestFit="1" customWidth="1"/>
    <col min="20" max="20" width="20" bestFit="1" customWidth="1"/>
    <col min="21" max="21" width="23.5" bestFit="1" customWidth="1"/>
    <col min="22" max="24" width="11" bestFit="1" customWidth="1"/>
    <col min="26" max="26" width="40.83203125" bestFit="1" customWidth="1"/>
    <col min="27" max="27" width="20.5" bestFit="1" customWidth="1"/>
    <col min="28" max="29" width="12.83203125" bestFit="1" customWidth="1"/>
    <col min="30" max="33" width="11" bestFit="1" customWidth="1"/>
  </cols>
  <sheetData>
    <row r="1" spans="1:30" ht="17" thickBot="1" x14ac:dyDescent="0.25">
      <c r="A1" s="9" t="s">
        <v>129</v>
      </c>
      <c r="V1" s="61" t="s">
        <v>132</v>
      </c>
      <c r="W1" s="62"/>
      <c r="X1" s="63"/>
      <c r="Y1" s="27"/>
      <c r="AA1" s="64" t="s">
        <v>140</v>
      </c>
      <c r="AB1" s="65"/>
      <c r="AC1" s="65"/>
      <c r="AD1" s="66"/>
    </row>
    <row r="2" spans="1:30" ht="17" thickBot="1" x14ac:dyDescent="0.25">
      <c r="A2" s="72" t="s">
        <v>0</v>
      </c>
      <c r="B2" s="73"/>
      <c r="C2" s="10"/>
      <c r="D2" s="10"/>
      <c r="E2" s="10"/>
      <c r="F2" s="10"/>
      <c r="H2" s="64" t="s">
        <v>127</v>
      </c>
      <c r="I2" s="66"/>
      <c r="J2" s="10"/>
      <c r="K2" s="10"/>
      <c r="L2" s="10"/>
      <c r="M2" s="10"/>
      <c r="O2" s="64" t="s">
        <v>128</v>
      </c>
      <c r="P2" s="66"/>
      <c r="V2" s="11" t="s">
        <v>137</v>
      </c>
      <c r="W2" s="11" t="s">
        <v>138</v>
      </c>
      <c r="X2" s="11" t="s">
        <v>139</v>
      </c>
      <c r="AB2" s="28">
        <f>Z4</f>
        <v>0.48028144129785433</v>
      </c>
      <c r="AC2" s="28">
        <f>Z5</f>
        <v>0.11217673398769602</v>
      </c>
      <c r="AD2" s="28">
        <f>Z6</f>
        <v>0.40754181807344858</v>
      </c>
    </row>
    <row r="3" spans="1:30" ht="17" thickBot="1" x14ac:dyDescent="0.25">
      <c r="A3" s="12" t="s">
        <v>130</v>
      </c>
      <c r="B3" s="17" t="s">
        <v>131</v>
      </c>
      <c r="C3" s="19" t="s">
        <v>132</v>
      </c>
      <c r="D3" s="13" t="s">
        <v>133</v>
      </c>
      <c r="E3" s="13" t="s">
        <v>134</v>
      </c>
      <c r="F3" s="4" t="s">
        <v>135</v>
      </c>
      <c r="H3" s="12" t="s">
        <v>130</v>
      </c>
      <c r="I3" s="17" t="s">
        <v>131</v>
      </c>
      <c r="J3" s="19" t="s">
        <v>132</v>
      </c>
      <c r="K3" s="13" t="s">
        <v>133</v>
      </c>
      <c r="L3" s="13" t="s">
        <v>134</v>
      </c>
      <c r="M3" s="4" t="s">
        <v>135</v>
      </c>
      <c r="O3" s="12" t="s">
        <v>130</v>
      </c>
      <c r="P3" s="17" t="s">
        <v>131</v>
      </c>
      <c r="Q3" s="19" t="s">
        <v>132</v>
      </c>
      <c r="R3" s="3" t="s">
        <v>133</v>
      </c>
      <c r="S3" s="13" t="s">
        <v>134</v>
      </c>
      <c r="T3" s="4" t="s">
        <v>135</v>
      </c>
      <c r="U3" s="2"/>
      <c r="V3">
        <f>(B4/B5)-1</f>
        <v>-1.6867564182842854E-2</v>
      </c>
      <c r="W3">
        <f>(I4/I5)-1</f>
        <v>6.3204769087124024E-3</v>
      </c>
      <c r="X3">
        <f>P4/P5-1</f>
        <v>-3.8748783955698585E-2</v>
      </c>
      <c r="Z3" s="31" t="s">
        <v>142</v>
      </c>
      <c r="AA3" s="25"/>
      <c r="AB3" s="25" t="s">
        <v>137</v>
      </c>
      <c r="AC3" s="25" t="s">
        <v>138</v>
      </c>
      <c r="AD3" s="25" t="s">
        <v>139</v>
      </c>
    </row>
    <row r="4" spans="1:30" ht="17" thickBot="1" x14ac:dyDescent="0.25">
      <c r="A4" s="5" t="s">
        <v>33</v>
      </c>
      <c r="B4" s="1">
        <v>502.42</v>
      </c>
      <c r="C4" s="20" t="s">
        <v>136</v>
      </c>
      <c r="D4" s="15">
        <f>_xlfn.STDEV.P(C4:C128)</f>
        <v>1.9004915524927377E-2</v>
      </c>
      <c r="E4" s="15">
        <f>(B4/B129)^(1/0.5)-1</f>
        <v>-0.24019707099359056</v>
      </c>
      <c r="F4" s="16">
        <f>D4*SQRT(252)</f>
        <v>0.30169368100049043</v>
      </c>
      <c r="H4" s="3" t="s">
        <v>33</v>
      </c>
      <c r="I4" s="4">
        <v>140.11000000000001</v>
      </c>
      <c r="J4" s="22">
        <f>(I4/I5)-1</f>
        <v>6.3204769087124024E-3</v>
      </c>
      <c r="K4" s="15">
        <f>_xlfn.STDEV.P(J4:J129)</f>
        <v>3.2379919052248171E-2</v>
      </c>
      <c r="L4" s="15">
        <f>(I4/I129)^(1/0.5)-1</f>
        <v>0.21271629125013125</v>
      </c>
      <c r="M4" s="16">
        <f>K4*SQRT(252)</f>
        <v>0.5140152797079055</v>
      </c>
      <c r="O4" s="3" t="s">
        <v>33</v>
      </c>
      <c r="P4" s="4">
        <v>642.26</v>
      </c>
      <c r="Q4" s="22">
        <f>P4/P5-1</f>
        <v>-3.8748783955698585E-2</v>
      </c>
      <c r="R4" s="14">
        <f>_xlfn.STDEV.P(Q4:Q129)</f>
        <v>1.9083357928986272E-2</v>
      </c>
      <c r="S4" s="15">
        <f>(P4/P129)^(1/0.5)-1</f>
        <v>0.70422469289223621</v>
      </c>
      <c r="T4" s="23">
        <f>R4*SQRT(252)</f>
        <v>0.30293891556078167</v>
      </c>
      <c r="U4" s="2"/>
      <c r="V4">
        <f t="shared" ref="V4:V67" si="0">(B5/B6)-1</f>
        <v>2.0589938689513421E-2</v>
      </c>
      <c r="W4">
        <f t="shared" ref="W4:W67" si="1">(I5/I6)-1</f>
        <v>-1.2195121951220633E-3</v>
      </c>
      <c r="X4">
        <f t="shared" ref="X4:X67" si="2">P5/P6-1</f>
        <v>-6.0102054478645695E-3</v>
      </c>
      <c r="Z4" s="43">
        <v>0.48028144129785433</v>
      </c>
      <c r="AA4" t="s">
        <v>137</v>
      </c>
      <c r="AB4">
        <f>VARP('Question 1'!$V$3:$V$127)</f>
        <v>3.603495524065659E-4</v>
      </c>
      <c r="AC4">
        <v>-3.0685871796111016E-6</v>
      </c>
      <c r="AD4">
        <v>4.7228168423600034E-5</v>
      </c>
    </row>
    <row r="5" spans="1:30" x14ac:dyDescent="0.2">
      <c r="A5" s="5" t="s">
        <v>34</v>
      </c>
      <c r="B5" s="1">
        <v>511.04</v>
      </c>
      <c r="C5" s="20">
        <f t="shared" ref="C5:C67" si="3">(B5/B6)-1</f>
        <v>2.0589938689513421E-2</v>
      </c>
      <c r="D5" s="1"/>
      <c r="E5" s="1"/>
      <c r="F5" s="1"/>
      <c r="H5" s="5" t="s">
        <v>34</v>
      </c>
      <c r="I5" s="6">
        <v>139.22999999999999</v>
      </c>
      <c r="J5" s="22">
        <f t="shared" ref="J5:J68" si="4">(I5/I6)-1</f>
        <v>-1.2195121951220633E-3</v>
      </c>
      <c r="K5" s="1"/>
      <c r="L5" s="1"/>
      <c r="M5" s="1"/>
      <c r="O5" s="5" t="s">
        <v>34</v>
      </c>
      <c r="P5" s="6">
        <v>668.15</v>
      </c>
      <c r="Q5" s="22">
        <f t="shared" ref="Q5:Q68" si="5">P5/P6-1</f>
        <v>-6.0102054478645695E-3</v>
      </c>
      <c r="R5" s="1"/>
      <c r="S5" s="1"/>
      <c r="U5" s="2"/>
      <c r="V5">
        <f t="shared" si="0"/>
        <v>-4.3513972990009697E-2</v>
      </c>
      <c r="W5">
        <f t="shared" si="1"/>
        <v>3.961109110551142E-3</v>
      </c>
      <c r="X5">
        <f t="shared" si="2"/>
        <v>1.7621678903943838E-2</v>
      </c>
      <c r="Z5" s="43">
        <v>0.11217673398769602</v>
      </c>
      <c r="AA5" t="s">
        <v>138</v>
      </c>
      <c r="AB5">
        <v>-3.0685871796111016E-6</v>
      </c>
      <c r="AC5">
        <f>VARP('Question 1'!$W$3:$W$127)</f>
        <v>1.048459157830144E-3</v>
      </c>
      <c r="AD5">
        <v>1.8607526347284774E-4</v>
      </c>
    </row>
    <row r="6" spans="1:30" ht="17" thickBot="1" x14ac:dyDescent="0.25">
      <c r="A6" s="5" t="s">
        <v>35</v>
      </c>
      <c r="B6" s="1">
        <v>500.73</v>
      </c>
      <c r="C6" s="20">
        <f t="shared" si="3"/>
        <v>-4.3513972990009697E-2</v>
      </c>
      <c r="D6" s="1"/>
      <c r="E6" s="1"/>
      <c r="F6" s="1"/>
      <c r="H6" s="5" t="s">
        <v>35</v>
      </c>
      <c r="I6" s="6">
        <v>139.4</v>
      </c>
      <c r="J6" s="22">
        <f t="shared" si="4"/>
        <v>3.961109110551142E-3</v>
      </c>
      <c r="K6" s="1"/>
      <c r="L6" s="1"/>
      <c r="M6" s="1"/>
      <c r="O6" s="5" t="s">
        <v>35</v>
      </c>
      <c r="P6" s="6">
        <v>672.19</v>
      </c>
      <c r="Q6" s="22">
        <f t="shared" si="5"/>
        <v>1.7621678903943838E-2</v>
      </c>
      <c r="R6" s="1"/>
      <c r="S6" s="1"/>
      <c r="U6" s="2"/>
      <c r="V6">
        <f t="shared" si="0"/>
        <v>-1.4439549681840358E-2</v>
      </c>
      <c r="W6">
        <f t="shared" si="1"/>
        <v>2.6313844334392877E-2</v>
      </c>
      <c r="X6">
        <f t="shared" si="2"/>
        <v>1.7875028892826661E-2</v>
      </c>
      <c r="Z6" s="43">
        <v>0.40754181807344858</v>
      </c>
      <c r="AA6" s="24" t="s">
        <v>139</v>
      </c>
      <c r="AB6" s="24">
        <v>4.7228168423600034E-5</v>
      </c>
      <c r="AC6" s="24">
        <v>1.8607526347284774E-4</v>
      </c>
      <c r="AD6" s="24">
        <f>VARP('Question 1'!$X$3:$X$127)</f>
        <v>3.6417454984580315E-4</v>
      </c>
    </row>
    <row r="7" spans="1:30" ht="17" thickBot="1" x14ac:dyDescent="0.25">
      <c r="A7" s="5" t="s">
        <v>36</v>
      </c>
      <c r="B7" s="1">
        <v>523.51</v>
      </c>
      <c r="C7" s="20">
        <f t="shared" si="3"/>
        <v>-1.4439549681840358E-2</v>
      </c>
      <c r="D7" s="1"/>
      <c r="F7" s="1"/>
      <c r="H7" s="5" t="s">
        <v>36</v>
      </c>
      <c r="I7" s="6">
        <v>138.85</v>
      </c>
      <c r="J7" s="22">
        <f t="shared" si="4"/>
        <v>2.6313844334392877E-2</v>
      </c>
      <c r="K7" s="1"/>
      <c r="L7" s="1"/>
      <c r="M7" s="1"/>
      <c r="O7" s="5" t="s">
        <v>36</v>
      </c>
      <c r="P7" s="6">
        <v>660.55</v>
      </c>
      <c r="Q7" s="22">
        <f t="shared" si="5"/>
        <v>1.7875028892826661E-2</v>
      </c>
      <c r="R7" s="1"/>
      <c r="S7" s="1"/>
      <c r="U7" s="2"/>
      <c r="V7">
        <f t="shared" si="0"/>
        <v>7.1672354948804085E-3</v>
      </c>
      <c r="W7">
        <f t="shared" si="1"/>
        <v>3.1645569620253111E-2</v>
      </c>
      <c r="X7">
        <f t="shared" si="2"/>
        <v>-7.7041602465244274E-5</v>
      </c>
      <c r="Z7" s="44">
        <f>SUM(Z4:Z6)</f>
        <v>0.99999999335899892</v>
      </c>
    </row>
    <row r="8" spans="1:30" ht="17" thickBot="1" x14ac:dyDescent="0.25">
      <c r="A8" s="5" t="s">
        <v>37</v>
      </c>
      <c r="B8" s="1">
        <v>531.17999999999995</v>
      </c>
      <c r="C8" s="20">
        <f t="shared" si="3"/>
        <v>7.1672354948804085E-3</v>
      </c>
      <c r="D8" s="1"/>
      <c r="E8" s="1"/>
      <c r="F8" s="1"/>
      <c r="H8" s="5" t="s">
        <v>37</v>
      </c>
      <c r="I8" s="6">
        <v>135.29</v>
      </c>
      <c r="J8" s="22">
        <f t="shared" si="4"/>
        <v>3.1645569620253111E-2</v>
      </c>
      <c r="K8" s="1"/>
      <c r="L8" s="1"/>
      <c r="M8" s="1"/>
      <c r="O8" s="5" t="s">
        <v>37</v>
      </c>
      <c r="P8" s="6">
        <v>648.95000000000005</v>
      </c>
      <c r="Q8" s="22">
        <f t="shared" si="5"/>
        <v>-7.7041602465244274E-5</v>
      </c>
      <c r="R8" s="1"/>
      <c r="S8" s="1"/>
      <c r="U8" s="2"/>
      <c r="V8">
        <f t="shared" si="0"/>
        <v>-1.2211567275996371E-2</v>
      </c>
      <c r="W8">
        <f t="shared" si="1"/>
        <v>-1.2500000000000178E-2</v>
      </c>
      <c r="X8">
        <f t="shared" si="2"/>
        <v>2.7192386131882351E-3</v>
      </c>
    </row>
    <row r="9" spans="1:30" ht="17" thickBot="1" x14ac:dyDescent="0.25">
      <c r="A9" s="5" t="s">
        <v>38</v>
      </c>
      <c r="B9" s="1">
        <v>527.4</v>
      </c>
      <c r="C9" s="20">
        <f t="shared" si="3"/>
        <v>-1.2211567275996371E-2</v>
      </c>
      <c r="D9" s="1"/>
      <c r="E9" s="1"/>
      <c r="F9" s="1"/>
      <c r="H9" s="5" t="s">
        <v>38</v>
      </c>
      <c r="I9" s="6">
        <v>131.13999999999999</v>
      </c>
      <c r="J9" s="22">
        <f t="shared" si="4"/>
        <v>-1.2500000000000178E-2</v>
      </c>
      <c r="K9" s="1"/>
      <c r="L9" s="1"/>
      <c r="M9" s="1"/>
      <c r="O9" s="5" t="s">
        <v>38</v>
      </c>
      <c r="P9" s="6">
        <v>649</v>
      </c>
      <c r="Q9" s="22">
        <f t="shared" si="5"/>
        <v>2.7192386131882351E-3</v>
      </c>
      <c r="R9" s="1"/>
      <c r="S9" s="1"/>
      <c r="U9" s="2"/>
      <c r="V9">
        <f t="shared" si="0"/>
        <v>1.0311791064363529E-3</v>
      </c>
      <c r="W9">
        <f t="shared" si="1"/>
        <v>-5.7647675376205632E-3</v>
      </c>
      <c r="X9">
        <f t="shared" si="2"/>
        <v>-5.0574147233793942E-3</v>
      </c>
      <c r="Z9" s="26" t="s">
        <v>141</v>
      </c>
      <c r="AA9" s="32" cm="1">
        <f t="array" ref="AA9">MMULT(MMULT(TRANSPOSE(Z4:Z6), AB4:AD6), Z4:Z6)</f>
        <v>1.9197244807323959E-4</v>
      </c>
    </row>
    <row r="10" spans="1:30" x14ac:dyDescent="0.2">
      <c r="A10" s="5" t="s">
        <v>39</v>
      </c>
      <c r="B10" s="1">
        <v>533.91999999999996</v>
      </c>
      <c r="C10" s="20">
        <f t="shared" si="3"/>
        <v>1.0311791064363529E-3</v>
      </c>
      <c r="D10" s="1"/>
      <c r="E10" s="1"/>
      <c r="F10" s="1"/>
      <c r="H10" s="5" t="s">
        <v>39</v>
      </c>
      <c r="I10" s="6">
        <v>132.80000000000001</v>
      </c>
      <c r="J10" s="22">
        <f t="shared" si="4"/>
        <v>-5.7647675376205632E-3</v>
      </c>
      <c r="K10" s="1"/>
      <c r="L10" s="1"/>
      <c r="M10" s="1"/>
      <c r="O10" s="5" t="s">
        <v>39</v>
      </c>
      <c r="P10" s="6">
        <v>647.24</v>
      </c>
      <c r="Q10" s="22">
        <f t="shared" si="5"/>
        <v>-5.0574147233793942E-3</v>
      </c>
      <c r="R10" s="1"/>
      <c r="S10" s="1"/>
      <c r="U10" s="2"/>
      <c r="V10">
        <f t="shared" si="0"/>
        <v>1.2029675730034439E-2</v>
      </c>
      <c r="W10">
        <f t="shared" si="1"/>
        <v>2.8727664818237741E-2</v>
      </c>
      <c r="X10">
        <f t="shared" si="2"/>
        <v>-8.1872236621436389E-3</v>
      </c>
    </row>
    <row r="11" spans="1:30" ht="17" thickBot="1" x14ac:dyDescent="0.25">
      <c r="A11" s="5" t="s">
        <v>40</v>
      </c>
      <c r="B11" s="1">
        <v>533.37</v>
      </c>
      <c r="C11" s="20">
        <f t="shared" si="3"/>
        <v>1.2029675730034439E-2</v>
      </c>
      <c r="D11" s="1"/>
      <c r="E11" s="1"/>
      <c r="F11" s="1"/>
      <c r="H11" s="5" t="s">
        <v>40</v>
      </c>
      <c r="I11" s="6">
        <v>133.57</v>
      </c>
      <c r="J11" s="22">
        <f t="shared" si="4"/>
        <v>2.8727664818237741E-2</v>
      </c>
      <c r="K11" s="1"/>
      <c r="L11" s="1"/>
      <c r="M11" s="1"/>
      <c r="O11" s="5" t="s">
        <v>40</v>
      </c>
      <c r="P11" s="6">
        <v>650.53</v>
      </c>
      <c r="Q11" s="22">
        <f t="shared" si="5"/>
        <v>-8.1872236621436389E-3</v>
      </c>
      <c r="R11" s="1"/>
      <c r="S11" s="1"/>
      <c r="U11" s="2"/>
      <c r="V11">
        <f t="shared" si="0"/>
        <v>-5.6788166930797912E-3</v>
      </c>
      <c r="W11">
        <f t="shared" si="1"/>
        <v>9.0146098849859246E-3</v>
      </c>
      <c r="X11">
        <f t="shared" si="2"/>
        <v>-3.5246574093769079E-3</v>
      </c>
    </row>
    <row r="12" spans="1:30" ht="17" thickBot="1" x14ac:dyDescent="0.25">
      <c r="A12" s="5" t="s">
        <v>41</v>
      </c>
      <c r="B12" s="1">
        <v>527.03</v>
      </c>
      <c r="C12" s="20">
        <f t="shared" si="3"/>
        <v>-5.6788166930797912E-3</v>
      </c>
      <c r="D12" s="1"/>
      <c r="E12" s="1"/>
      <c r="F12" s="1"/>
      <c r="H12" s="5" t="s">
        <v>41</v>
      </c>
      <c r="I12" s="6">
        <v>129.84</v>
      </c>
      <c r="J12" s="22">
        <f t="shared" si="4"/>
        <v>9.0146098849859246E-3</v>
      </c>
      <c r="K12" s="1"/>
      <c r="L12" s="1"/>
      <c r="M12" s="1"/>
      <c r="O12" s="5" t="s">
        <v>41</v>
      </c>
      <c r="P12" s="6">
        <v>655.9</v>
      </c>
      <c r="Q12" s="22">
        <f t="shared" si="5"/>
        <v>-3.5246574093769079E-3</v>
      </c>
      <c r="R12" s="1"/>
      <c r="S12" s="1"/>
      <c r="U12" s="2"/>
      <c r="V12">
        <f t="shared" si="0"/>
        <v>-1.8098960745447479E-2</v>
      </c>
      <c r="W12">
        <f t="shared" si="1"/>
        <v>3.0841945045261721E-2</v>
      </c>
      <c r="X12">
        <f t="shared" si="2"/>
        <v>1.978464637074917E-2</v>
      </c>
      <c r="Z12" s="26" t="s">
        <v>143</v>
      </c>
      <c r="AA12" s="33">
        <v>4.2099999999999999E-2</v>
      </c>
      <c r="AC12" s="26" t="s">
        <v>144</v>
      </c>
      <c r="AD12" s="34" t="s">
        <v>145</v>
      </c>
    </row>
    <row r="13" spans="1:30" x14ac:dyDescent="0.2">
      <c r="A13" s="5" t="s">
        <v>42</v>
      </c>
      <c r="B13" s="1">
        <v>530.04</v>
      </c>
      <c r="C13" s="20">
        <f t="shared" si="3"/>
        <v>-1.8098960745447479E-2</v>
      </c>
      <c r="D13" s="1"/>
      <c r="E13" s="1"/>
      <c r="F13" s="1"/>
      <c r="H13" s="5" t="s">
        <v>42</v>
      </c>
      <c r="I13" s="6">
        <v>128.68</v>
      </c>
      <c r="J13" s="22">
        <f t="shared" si="4"/>
        <v>3.0841945045261721E-2</v>
      </c>
      <c r="K13" s="1"/>
      <c r="L13" s="1"/>
      <c r="M13" s="1"/>
      <c r="O13" s="5" t="s">
        <v>42</v>
      </c>
      <c r="P13" s="6">
        <v>658.22</v>
      </c>
      <c r="Q13" s="22">
        <f t="shared" si="5"/>
        <v>1.978464637074917E-2</v>
      </c>
      <c r="R13" s="1"/>
      <c r="S13" s="1"/>
      <c r="U13" s="2"/>
      <c r="V13">
        <f t="shared" si="0"/>
        <v>-1.034008616738491E-2</v>
      </c>
      <c r="W13">
        <f t="shared" si="1"/>
        <v>5.2085967130214961E-2</v>
      </c>
      <c r="X13">
        <f t="shared" si="2"/>
        <v>1.7770979847992807E-2</v>
      </c>
      <c r="Z13" t="s">
        <v>151</v>
      </c>
      <c r="AA13" s="36">
        <f>(1+AA12)^(1/252) - 1</f>
        <v>1.6365588229105832E-4</v>
      </c>
    </row>
    <row r="14" spans="1:30" x14ac:dyDescent="0.2">
      <c r="A14" s="5" t="s">
        <v>43</v>
      </c>
      <c r="B14" s="1">
        <v>539.80999999999995</v>
      </c>
      <c r="C14" s="20">
        <f t="shared" si="3"/>
        <v>-1.034008616738491E-2</v>
      </c>
      <c r="D14" s="1"/>
      <c r="E14" s="1"/>
      <c r="F14" s="1"/>
      <c r="H14" s="5" t="s">
        <v>43</v>
      </c>
      <c r="I14" s="6">
        <v>124.83</v>
      </c>
      <c r="J14" s="22">
        <f t="shared" si="4"/>
        <v>5.2085967130214961E-2</v>
      </c>
      <c r="K14" s="1"/>
      <c r="L14" s="1"/>
      <c r="M14" s="1"/>
      <c r="O14" s="5" t="s">
        <v>43</v>
      </c>
      <c r="P14" s="6">
        <v>645.45000000000005</v>
      </c>
      <c r="Q14" s="22">
        <f t="shared" si="5"/>
        <v>1.7770979847992807E-2</v>
      </c>
      <c r="R14" s="1"/>
      <c r="S14" s="1"/>
      <c r="U14" s="2"/>
      <c r="V14">
        <f t="shared" si="0"/>
        <v>-4.9801160202851413E-3</v>
      </c>
      <c r="W14">
        <f t="shared" si="1"/>
        <v>1.705811760672038E-2</v>
      </c>
      <c r="X14">
        <f t="shared" si="2"/>
        <v>2.8622483672533505E-3</v>
      </c>
    </row>
    <row r="15" spans="1:30" x14ac:dyDescent="0.2">
      <c r="A15" s="5" t="s">
        <v>44</v>
      </c>
      <c r="B15" s="1">
        <v>545.45000000000005</v>
      </c>
      <c r="C15" s="20">
        <f t="shared" si="3"/>
        <v>-4.9801160202851413E-3</v>
      </c>
      <c r="D15" s="1"/>
      <c r="E15" s="1"/>
      <c r="F15" s="1"/>
      <c r="H15" s="5" t="s">
        <v>44</v>
      </c>
      <c r="I15" s="6">
        <v>118.65</v>
      </c>
      <c r="J15" s="22">
        <f t="shared" si="4"/>
        <v>1.705811760672038E-2</v>
      </c>
      <c r="K15" s="1"/>
      <c r="L15" s="1"/>
      <c r="M15" s="1"/>
      <c r="O15" s="5" t="s">
        <v>44</v>
      </c>
      <c r="P15" s="6">
        <v>634.17999999999995</v>
      </c>
      <c r="Q15" s="22">
        <f t="shared" si="5"/>
        <v>2.8622483672533505E-3</v>
      </c>
      <c r="R15" s="1"/>
      <c r="S15" s="1"/>
      <c r="U15" s="2"/>
      <c r="V15">
        <f t="shared" si="0"/>
        <v>1.0488672602259941E-2</v>
      </c>
      <c r="W15">
        <f t="shared" si="1"/>
        <v>-2.8400099941700674E-2</v>
      </c>
      <c r="X15">
        <f t="shared" si="2"/>
        <v>-1.2539038101186728E-2</v>
      </c>
      <c r="Z15" s="35" t="s">
        <v>148</v>
      </c>
      <c r="AA15" s="29">
        <f>SUMPRODUCT(AB2:AD2,V130:X130)</f>
        <v>0.2666124683009336</v>
      </c>
    </row>
    <row r="16" spans="1:30" x14ac:dyDescent="0.2">
      <c r="A16" s="5" t="s">
        <v>45</v>
      </c>
      <c r="B16" s="1">
        <v>548.17999999999995</v>
      </c>
      <c r="C16" s="20">
        <f t="shared" si="3"/>
        <v>1.0488672602259941E-2</v>
      </c>
      <c r="D16" s="1"/>
      <c r="E16" s="1"/>
      <c r="F16" s="1"/>
      <c r="H16" s="5" t="s">
        <v>45</v>
      </c>
      <c r="I16" s="6">
        <v>116.66</v>
      </c>
      <c r="J16" s="22">
        <f t="shared" si="4"/>
        <v>-2.8400099941700674E-2</v>
      </c>
      <c r="K16" s="1"/>
      <c r="L16" s="1"/>
      <c r="M16" s="1"/>
      <c r="O16" s="5" t="s">
        <v>45</v>
      </c>
      <c r="P16" s="6">
        <v>632.37</v>
      </c>
      <c r="Q16" s="22">
        <f t="shared" si="5"/>
        <v>-1.2539038101186728E-2</v>
      </c>
      <c r="R16" s="1"/>
      <c r="S16" s="1"/>
      <c r="U16" s="2"/>
      <c r="V16">
        <f t="shared" si="0"/>
        <v>-5.6454717084883921E-3</v>
      </c>
      <c r="W16">
        <f t="shared" si="1"/>
        <v>-3.6742880064179806E-2</v>
      </c>
      <c r="X16">
        <f t="shared" si="2"/>
        <v>-8.2081461979248704E-3</v>
      </c>
      <c r="Z16" s="35" t="s">
        <v>149</v>
      </c>
      <c r="AA16" s="29" cm="1">
        <f t="array" ref="AA16">SQRT(MMULT(MMULT(AB2:AD2,AB4:AD6),Z4:Z6)*12)</f>
        <v>4.7996555885593241E-2</v>
      </c>
    </row>
    <row r="17" spans="1:34" x14ac:dyDescent="0.2">
      <c r="A17" s="5" t="s">
        <v>46</v>
      </c>
      <c r="B17" s="1">
        <v>542.49</v>
      </c>
      <c r="C17" s="20">
        <f t="shared" si="3"/>
        <v>-5.6454717084883921E-3</v>
      </c>
      <c r="D17" s="1"/>
      <c r="E17" s="1"/>
      <c r="F17" s="1"/>
      <c r="H17" s="5" t="s">
        <v>46</v>
      </c>
      <c r="I17" s="6">
        <v>120.07</v>
      </c>
      <c r="J17" s="22">
        <f t="shared" si="4"/>
        <v>-3.6742880064179806E-2</v>
      </c>
      <c r="K17" s="1"/>
      <c r="L17" s="1"/>
      <c r="M17" s="1"/>
      <c r="O17" s="5" t="s">
        <v>46</v>
      </c>
      <c r="P17" s="6">
        <v>640.4</v>
      </c>
      <c r="Q17" s="22">
        <f t="shared" si="5"/>
        <v>-8.2081461979248704E-3</v>
      </c>
      <c r="R17" s="1"/>
      <c r="S17" s="1"/>
      <c r="U17" s="2"/>
      <c r="V17">
        <f t="shared" si="0"/>
        <v>1.3882178033822745E-2</v>
      </c>
      <c r="W17">
        <f t="shared" si="1"/>
        <v>7.6798706548100171E-3</v>
      </c>
      <c r="X17">
        <f t="shared" si="2"/>
        <v>1.3053437509805921E-2</v>
      </c>
      <c r="Z17" s="35" t="s">
        <v>150</v>
      </c>
      <c r="AA17" s="30">
        <f>(AA15-AA12)/AA16</f>
        <v>4.677678724200371</v>
      </c>
    </row>
    <row r="18" spans="1:34" x14ac:dyDescent="0.2">
      <c r="A18" s="5" t="s">
        <v>47</v>
      </c>
      <c r="B18" s="1">
        <v>545.57000000000005</v>
      </c>
      <c r="C18" s="20">
        <f t="shared" si="3"/>
        <v>1.3882178033822745E-2</v>
      </c>
      <c r="D18" s="1"/>
      <c r="E18" s="1"/>
      <c r="F18" s="1"/>
      <c r="H18" s="5" t="s">
        <v>47</v>
      </c>
      <c r="I18" s="6">
        <v>124.65</v>
      </c>
      <c r="J18" s="22">
        <f t="shared" si="4"/>
        <v>7.6798706548100171E-3</v>
      </c>
      <c r="K18" s="1"/>
      <c r="L18" s="1"/>
      <c r="M18" s="1"/>
      <c r="O18" s="5" t="s">
        <v>47</v>
      </c>
      <c r="P18" s="6">
        <v>645.70000000000005</v>
      </c>
      <c r="Q18" s="22">
        <f t="shared" si="5"/>
        <v>1.3053437509805921E-2</v>
      </c>
      <c r="R18" s="1"/>
      <c r="S18" s="1"/>
      <c r="U18" s="2"/>
      <c r="V18">
        <f t="shared" si="0"/>
        <v>-8.0740303790001189E-3</v>
      </c>
      <c r="W18">
        <f t="shared" si="1"/>
        <v>-4.1010931079928703E-2</v>
      </c>
      <c r="X18">
        <f t="shared" si="2"/>
        <v>-6.5851364063962414E-4</v>
      </c>
    </row>
    <row r="19" spans="1:34" x14ac:dyDescent="0.2">
      <c r="A19" s="5" t="s">
        <v>48</v>
      </c>
      <c r="B19" s="1">
        <v>538.1</v>
      </c>
      <c r="C19" s="20">
        <f t="shared" si="3"/>
        <v>-8.0740303790001189E-3</v>
      </c>
      <c r="D19" s="1"/>
      <c r="E19" s="1"/>
      <c r="F19" s="1"/>
      <c r="H19" s="5" t="s">
        <v>48</v>
      </c>
      <c r="I19" s="6">
        <v>123.7</v>
      </c>
      <c r="J19" s="22">
        <f t="shared" si="4"/>
        <v>-4.1010931079928703E-2</v>
      </c>
      <c r="K19" s="1"/>
      <c r="L19" s="1"/>
      <c r="M19" s="1"/>
      <c r="O19" s="5" t="s">
        <v>48</v>
      </c>
      <c r="P19" s="6">
        <v>637.38</v>
      </c>
      <c r="Q19" s="22">
        <f t="shared" si="5"/>
        <v>-6.5851364063962414E-4</v>
      </c>
      <c r="R19" s="1"/>
      <c r="S19" s="1"/>
      <c r="U19" s="2"/>
      <c r="V19">
        <f t="shared" si="0"/>
        <v>-1.9134530468059019E-3</v>
      </c>
      <c r="W19">
        <f t="shared" si="1"/>
        <v>8.9258571187299518E-2</v>
      </c>
      <c r="X19">
        <f t="shared" si="2"/>
        <v>7.1374431531074922E-3</v>
      </c>
    </row>
    <row r="20" spans="1:34" x14ac:dyDescent="0.2">
      <c r="A20" s="5" t="s">
        <v>49</v>
      </c>
      <c r="B20" s="1">
        <v>542.48</v>
      </c>
      <c r="C20" s="20">
        <f t="shared" si="3"/>
        <v>-1.9134530468059019E-3</v>
      </c>
      <c r="D20" s="1"/>
      <c r="E20" s="1"/>
      <c r="F20" s="1"/>
      <c r="H20" s="5" t="s">
        <v>49</v>
      </c>
      <c r="I20" s="6">
        <v>128.99</v>
      </c>
      <c r="J20" s="22">
        <f t="shared" si="4"/>
        <v>8.9258571187299518E-2</v>
      </c>
      <c r="K20" s="1"/>
      <c r="L20" s="1"/>
      <c r="M20" s="1"/>
      <c r="O20" s="5" t="s">
        <v>49</v>
      </c>
      <c r="P20" s="6">
        <v>637.79999999999995</v>
      </c>
      <c r="Q20" s="22">
        <f t="shared" si="5"/>
        <v>7.1374431531074922E-3</v>
      </c>
      <c r="R20" s="1"/>
      <c r="S20" s="1"/>
      <c r="U20" s="2"/>
      <c r="V20">
        <f t="shared" si="0"/>
        <v>2.0675668062571484E-2</v>
      </c>
      <c r="W20">
        <f t="shared" si="1"/>
        <v>-0.16968167157481417</v>
      </c>
      <c r="X20">
        <f t="shared" si="2"/>
        <v>-5.683780813314554E-3</v>
      </c>
      <c r="Z20" s="35" t="s">
        <v>152</v>
      </c>
    </row>
    <row r="21" spans="1:34" x14ac:dyDescent="0.2">
      <c r="A21" s="5" t="s">
        <v>50</v>
      </c>
      <c r="B21" s="1">
        <v>543.52</v>
      </c>
      <c r="C21" s="20">
        <f t="shared" si="3"/>
        <v>2.0675668062571484E-2</v>
      </c>
      <c r="D21" s="1"/>
      <c r="E21" s="1"/>
      <c r="F21" s="1"/>
      <c r="H21" s="5" t="s">
        <v>50</v>
      </c>
      <c r="I21" s="6">
        <v>118.42</v>
      </c>
      <c r="J21" s="22">
        <f t="shared" si="4"/>
        <v>-0.16968167157481417</v>
      </c>
      <c r="K21" s="1"/>
      <c r="L21" s="1"/>
      <c r="M21" s="1"/>
      <c r="O21" s="5" t="s">
        <v>50</v>
      </c>
      <c r="P21" s="6">
        <v>633.28</v>
      </c>
      <c r="Q21" s="22">
        <f t="shared" si="5"/>
        <v>-5.683780813314554E-3</v>
      </c>
      <c r="R21" s="1"/>
      <c r="S21" s="1"/>
      <c r="U21" s="2"/>
      <c r="V21">
        <f t="shared" si="0"/>
        <v>5.1720557977990023E-3</v>
      </c>
      <c r="W21">
        <f t="shared" si="1"/>
        <v>-3.1245754652900359E-2</v>
      </c>
      <c r="X21">
        <f t="shared" si="2"/>
        <v>-4.0656763096169612E-3</v>
      </c>
      <c r="Z21" s="35" t="s">
        <v>153</v>
      </c>
      <c r="AA21" s="37">
        <f>W129-AA13</f>
        <v>1.1471430513844084E-3</v>
      </c>
    </row>
    <row r="22" spans="1:34" x14ac:dyDescent="0.2">
      <c r="A22" s="5" t="s">
        <v>51</v>
      </c>
      <c r="B22" s="1">
        <v>532.51</v>
      </c>
      <c r="C22" s="20">
        <f t="shared" si="3"/>
        <v>5.1720557977990023E-3</v>
      </c>
      <c r="D22" s="1"/>
      <c r="E22" s="1"/>
      <c r="F22" s="1"/>
      <c r="H22" s="5" t="s">
        <v>51</v>
      </c>
      <c r="I22" s="6">
        <v>142.62</v>
      </c>
      <c r="J22" s="22">
        <f t="shared" si="4"/>
        <v>-3.1245754652900359E-2</v>
      </c>
      <c r="K22" s="1"/>
      <c r="L22" s="1"/>
      <c r="M22" s="1"/>
      <c r="O22" s="5" t="s">
        <v>51</v>
      </c>
      <c r="P22" s="6">
        <v>636.9</v>
      </c>
      <c r="Q22" s="22">
        <f t="shared" si="5"/>
        <v>-4.0656763096169612E-3</v>
      </c>
      <c r="R22" s="1"/>
      <c r="S22" s="1"/>
      <c r="U22" s="2"/>
      <c r="V22">
        <f t="shared" si="0"/>
        <v>1.9337335488339713E-2</v>
      </c>
      <c r="W22">
        <f t="shared" si="1"/>
        <v>1.0199224858911116E-3</v>
      </c>
      <c r="X22">
        <f t="shared" si="2"/>
        <v>1.0699666524425888E-2</v>
      </c>
      <c r="Z22" t="s">
        <v>154</v>
      </c>
      <c r="AA22" s="37">
        <f>X129-AA13</f>
        <v>2.1480102269018637E-3</v>
      </c>
    </row>
    <row r="23" spans="1:34" x14ac:dyDescent="0.2">
      <c r="A23" s="5" t="s">
        <v>52</v>
      </c>
      <c r="B23" s="1">
        <v>529.77</v>
      </c>
      <c r="C23" s="20">
        <f t="shared" si="3"/>
        <v>1.9337335488339713E-2</v>
      </c>
      <c r="D23" s="1"/>
      <c r="E23" s="1"/>
      <c r="F23" s="1"/>
      <c r="H23" s="5" t="s">
        <v>52</v>
      </c>
      <c r="I23" s="6">
        <v>147.22</v>
      </c>
      <c r="J23" s="22">
        <f t="shared" si="4"/>
        <v>1.0199224858911116E-3</v>
      </c>
      <c r="K23" s="1"/>
      <c r="L23" s="1"/>
      <c r="M23" s="1"/>
      <c r="O23" s="5" t="s">
        <v>52</v>
      </c>
      <c r="P23" s="6">
        <v>639.5</v>
      </c>
      <c r="Q23" s="22">
        <f t="shared" si="5"/>
        <v>1.0699666524425888E-2</v>
      </c>
      <c r="R23" s="1"/>
      <c r="S23" s="1"/>
      <c r="U23" s="2"/>
      <c r="V23">
        <f t="shared" si="0"/>
        <v>-1.0038286443551314E-2</v>
      </c>
      <c r="W23">
        <f t="shared" si="1"/>
        <v>4.43087410352907E-2</v>
      </c>
      <c r="X23">
        <f t="shared" si="2"/>
        <v>-3.1666509121844877E-3</v>
      </c>
    </row>
    <row r="24" spans="1:34" x14ac:dyDescent="0.2">
      <c r="A24" s="5" t="s">
        <v>53</v>
      </c>
      <c r="B24" s="1">
        <v>519.72</v>
      </c>
      <c r="C24" s="20">
        <f t="shared" si="3"/>
        <v>-1.0038286443551314E-2</v>
      </c>
      <c r="D24" s="1"/>
      <c r="E24" s="1"/>
      <c r="F24" s="1"/>
      <c r="H24" s="5" t="s">
        <v>53</v>
      </c>
      <c r="I24" s="6">
        <v>147.07</v>
      </c>
      <c r="J24" s="22">
        <f t="shared" si="4"/>
        <v>4.43087410352907E-2</v>
      </c>
      <c r="K24" s="1"/>
      <c r="L24" s="1"/>
      <c r="M24" s="1"/>
      <c r="O24" s="5" t="s">
        <v>53</v>
      </c>
      <c r="P24" s="6">
        <v>632.73</v>
      </c>
      <c r="Q24" s="22">
        <f t="shared" si="5"/>
        <v>-3.1666509121844877E-3</v>
      </c>
      <c r="R24" s="1"/>
      <c r="S24" s="1"/>
      <c r="U24" s="2"/>
      <c r="V24">
        <f t="shared" si="0"/>
        <v>2.9876804770872623E-2</v>
      </c>
      <c r="W24">
        <f t="shared" si="1"/>
        <v>2.265630673153729E-2</v>
      </c>
      <c r="X24">
        <f t="shared" si="2"/>
        <v>1.4058855481355881E-2</v>
      </c>
      <c r="Z24" t="s">
        <v>155</v>
      </c>
      <c r="AA24" s="30">
        <f>(AD6-AC6)/(AC5+AD6-2*AC6)</f>
        <v>0.1711697888743943</v>
      </c>
    </row>
    <row r="25" spans="1:34" x14ac:dyDescent="0.2">
      <c r="A25" s="5" t="s">
        <v>54</v>
      </c>
      <c r="B25" s="1">
        <v>524.99</v>
      </c>
      <c r="C25" s="20">
        <f t="shared" si="3"/>
        <v>2.9876804770872623E-2</v>
      </c>
      <c r="D25" s="1"/>
      <c r="E25" s="1"/>
      <c r="F25" s="1"/>
      <c r="H25" s="5" t="s">
        <v>54</v>
      </c>
      <c r="I25" s="6">
        <v>140.83000000000001</v>
      </c>
      <c r="J25" s="22">
        <f t="shared" si="4"/>
        <v>2.265630673153729E-2</v>
      </c>
      <c r="K25" s="1"/>
      <c r="L25" s="1"/>
      <c r="M25" s="1"/>
      <c r="O25" s="5" t="s">
        <v>54</v>
      </c>
      <c r="P25" s="6">
        <v>634.74</v>
      </c>
      <c r="Q25" s="22">
        <f t="shared" si="5"/>
        <v>1.4058855481355881E-2</v>
      </c>
      <c r="R25" s="1"/>
      <c r="S25" s="1"/>
      <c r="U25" s="2"/>
      <c r="V25">
        <f t="shared" si="0"/>
        <v>-1.6255704185353936E-3</v>
      </c>
      <c r="W25">
        <f t="shared" si="1"/>
        <v>3.0994983903571249E-2</v>
      </c>
      <c r="X25">
        <f t="shared" si="2"/>
        <v>2.1125956377755051E-2</v>
      </c>
      <c r="Z25" t="s">
        <v>156</v>
      </c>
      <c r="AA25" s="30">
        <f>1-AA24</f>
        <v>0.82883021112560573</v>
      </c>
    </row>
    <row r="26" spans="1:34" x14ac:dyDescent="0.2">
      <c r="A26" s="5" t="s">
        <v>55</v>
      </c>
      <c r="B26" s="1">
        <v>509.76</v>
      </c>
      <c r="C26" s="20">
        <f t="shared" si="3"/>
        <v>-1.6255704185353936E-3</v>
      </c>
      <c r="D26" s="1"/>
      <c r="E26" s="1"/>
      <c r="F26" s="1"/>
      <c r="H26" s="5" t="s">
        <v>55</v>
      </c>
      <c r="I26" s="6">
        <v>137.71</v>
      </c>
      <c r="J26" s="22">
        <f t="shared" si="4"/>
        <v>3.0994983903571249E-2</v>
      </c>
      <c r="K26" s="1"/>
      <c r="L26" s="1"/>
      <c r="M26" s="1"/>
      <c r="O26" s="5" t="s">
        <v>55</v>
      </c>
      <c r="P26" s="6">
        <v>625.94000000000005</v>
      </c>
      <c r="Q26" s="22">
        <f t="shared" si="5"/>
        <v>2.1125956377755051E-2</v>
      </c>
      <c r="R26" s="1"/>
      <c r="S26" s="1"/>
      <c r="U26" s="2"/>
      <c r="V26">
        <f t="shared" si="0"/>
        <v>-6.0413676346104284E-2</v>
      </c>
      <c r="W26">
        <f t="shared" si="1"/>
        <v>-1.9597768643570324E-2</v>
      </c>
      <c r="X26">
        <f t="shared" si="2"/>
        <v>1.1668207024029709E-2</v>
      </c>
      <c r="AG26" s="45">
        <v>4.0000000000000001E-3</v>
      </c>
      <c r="AH26" s="46" t="s">
        <v>163</v>
      </c>
    </row>
    <row r="27" spans="1:34" x14ac:dyDescent="0.2">
      <c r="A27" s="5" t="s">
        <v>56</v>
      </c>
      <c r="B27" s="1">
        <v>510.59</v>
      </c>
      <c r="C27" s="20">
        <f t="shared" si="3"/>
        <v>-6.0413676346104284E-2</v>
      </c>
      <c r="D27" s="1"/>
      <c r="E27" s="1"/>
      <c r="F27" s="1"/>
      <c r="H27" s="5" t="s">
        <v>56</v>
      </c>
      <c r="I27" s="6">
        <v>133.57</v>
      </c>
      <c r="J27" s="22">
        <f t="shared" si="4"/>
        <v>-1.9597768643570324E-2</v>
      </c>
      <c r="K27" s="1"/>
      <c r="L27" s="1"/>
      <c r="M27" s="1"/>
      <c r="O27" s="5" t="s">
        <v>56</v>
      </c>
      <c r="P27" s="6">
        <v>612.99</v>
      </c>
      <c r="Q27" s="22">
        <f t="shared" si="5"/>
        <v>1.1668207024029709E-2</v>
      </c>
      <c r="R27" s="1"/>
      <c r="S27" s="1"/>
      <c r="U27" s="2"/>
      <c r="V27">
        <f t="shared" si="0"/>
        <v>-5.8851657041980587E-4</v>
      </c>
      <c r="W27">
        <f t="shared" si="1"/>
        <v>3.4001214329083318E-2</v>
      </c>
      <c r="X27">
        <f t="shared" si="2"/>
        <v>6.0171819502038426E-2</v>
      </c>
    </row>
    <row r="28" spans="1:34" ht="20" thickBot="1" x14ac:dyDescent="0.25">
      <c r="A28" s="5" t="s">
        <v>57</v>
      </c>
      <c r="B28" s="1">
        <v>543.41999999999996</v>
      </c>
      <c r="C28" s="20">
        <f t="shared" si="3"/>
        <v>-5.8851657041980587E-4</v>
      </c>
      <c r="D28" s="1"/>
      <c r="E28" s="1"/>
      <c r="F28" s="1"/>
      <c r="H28" s="5" t="s">
        <v>57</v>
      </c>
      <c r="I28" s="6">
        <v>136.24</v>
      </c>
      <c r="J28" s="22">
        <f t="shared" si="4"/>
        <v>3.4001214329083318E-2</v>
      </c>
      <c r="K28" s="1"/>
      <c r="L28" s="1"/>
      <c r="M28" s="1"/>
      <c r="O28" s="5" t="s">
        <v>57</v>
      </c>
      <c r="P28" s="6">
        <v>605.91999999999996</v>
      </c>
      <c r="Q28" s="22">
        <f t="shared" si="5"/>
        <v>6.0171819502038426E-2</v>
      </c>
      <c r="R28" s="1"/>
      <c r="S28" s="1"/>
      <c r="U28" s="2"/>
      <c r="V28">
        <f t="shared" si="0"/>
        <v>4.8046716191743055E-3</v>
      </c>
      <c r="W28">
        <f t="shared" si="1"/>
        <v>-1.103355100202652E-2</v>
      </c>
      <c r="X28">
        <f t="shared" si="2"/>
        <v>1.5241140420996446E-2</v>
      </c>
      <c r="AA28" s="67" t="s">
        <v>157</v>
      </c>
      <c r="AB28" s="68"/>
      <c r="AC28" s="68"/>
      <c r="AD28" s="68"/>
      <c r="AE28" s="69"/>
    </row>
    <row r="29" spans="1:34" x14ac:dyDescent="0.2">
      <c r="A29" s="5" t="s">
        <v>58</v>
      </c>
      <c r="B29" s="1">
        <v>543.74</v>
      </c>
      <c r="C29" s="20">
        <f t="shared" si="3"/>
        <v>4.8046716191743055E-3</v>
      </c>
      <c r="D29" s="1"/>
      <c r="E29" s="1"/>
      <c r="F29" s="1"/>
      <c r="H29" s="5" t="s">
        <v>58</v>
      </c>
      <c r="I29" s="6">
        <v>131.76</v>
      </c>
      <c r="J29" s="22">
        <f t="shared" si="4"/>
        <v>-1.103355100202652E-2</v>
      </c>
      <c r="K29" s="1"/>
      <c r="L29" s="1"/>
      <c r="M29" s="1"/>
      <c r="O29" s="5" t="s">
        <v>58</v>
      </c>
      <c r="P29" s="6">
        <v>571.53</v>
      </c>
      <c r="Q29" s="22">
        <f t="shared" si="5"/>
        <v>1.5241140420996446E-2</v>
      </c>
      <c r="R29" s="1"/>
      <c r="S29" s="1"/>
      <c r="U29" s="2"/>
      <c r="V29">
        <f t="shared" si="0"/>
        <v>3.9274808427279151E-2</v>
      </c>
      <c r="W29">
        <f t="shared" si="1"/>
        <v>-1.9718931645942184E-2</v>
      </c>
      <c r="X29">
        <f t="shared" si="2"/>
        <v>5.2678571428572685E-3</v>
      </c>
      <c r="Z29" t="s">
        <v>158</v>
      </c>
      <c r="AA29" s="47" t="s">
        <v>137</v>
      </c>
      <c r="AB29" s="47" t="s">
        <v>138</v>
      </c>
      <c r="AC29" s="48" t="s">
        <v>139</v>
      </c>
      <c r="AD29" s="51" t="s">
        <v>159</v>
      </c>
      <c r="AE29" s="51" t="s">
        <v>160</v>
      </c>
      <c r="AF29" s="52" t="s">
        <v>150</v>
      </c>
    </row>
    <row r="30" spans="1:34" x14ac:dyDescent="0.2">
      <c r="A30" s="5" t="s">
        <v>59</v>
      </c>
      <c r="B30" s="1">
        <v>541.14</v>
      </c>
      <c r="C30" s="20">
        <f t="shared" si="3"/>
        <v>3.9274808427279151E-2</v>
      </c>
      <c r="D30" s="1"/>
      <c r="E30" s="1"/>
      <c r="F30" s="1"/>
      <c r="H30" s="5" t="s">
        <v>59</v>
      </c>
      <c r="I30" s="6">
        <v>133.22999999999999</v>
      </c>
      <c r="J30" s="22">
        <f t="shared" si="4"/>
        <v>-1.9718931645942184E-2</v>
      </c>
      <c r="K30" s="1"/>
      <c r="L30" s="1"/>
      <c r="M30" s="1"/>
      <c r="O30" s="5" t="s">
        <v>59</v>
      </c>
      <c r="P30" s="6">
        <v>562.95000000000005</v>
      </c>
      <c r="Q30" s="22">
        <f t="shared" si="5"/>
        <v>5.2678571428572685E-3</v>
      </c>
      <c r="R30" s="1"/>
      <c r="S30" s="1"/>
      <c r="U30" s="2"/>
      <c r="V30">
        <f t="shared" si="0"/>
        <v>-7.3019141310148861E-3</v>
      </c>
      <c r="W30">
        <f t="shared" si="1"/>
        <v>-2.997644707729652E-2</v>
      </c>
      <c r="X30">
        <f t="shared" si="2"/>
        <v>-3.4516051170649265E-2</v>
      </c>
      <c r="Z30" s="53">
        <v>0.04</v>
      </c>
      <c r="AA30" s="54"/>
      <c r="AB30" s="54"/>
      <c r="AC30" s="55"/>
      <c r="AD30" s="51"/>
      <c r="AE30" s="56">
        <v>0</v>
      </c>
      <c r="AF30" s="49"/>
    </row>
    <row r="31" spans="1:34" ht="17" thickBot="1" x14ac:dyDescent="0.25">
      <c r="A31" s="5" t="s">
        <v>60</v>
      </c>
      <c r="B31" s="1">
        <v>520.69000000000005</v>
      </c>
      <c r="C31" s="20">
        <f t="shared" si="3"/>
        <v>-7.3019141310148861E-3</v>
      </c>
      <c r="D31" s="1"/>
      <c r="E31" s="1"/>
      <c r="F31" s="1"/>
      <c r="H31" s="5" t="s">
        <v>60</v>
      </c>
      <c r="I31" s="6">
        <v>135.91</v>
      </c>
      <c r="J31" s="22">
        <f t="shared" si="4"/>
        <v>-2.997644707729652E-2</v>
      </c>
      <c r="K31" s="1"/>
      <c r="L31" s="1"/>
      <c r="M31" s="1"/>
      <c r="O31" s="5" t="s">
        <v>60</v>
      </c>
      <c r="P31" s="6">
        <v>560</v>
      </c>
      <c r="Q31" s="22">
        <f t="shared" si="5"/>
        <v>-3.4516051170649265E-2</v>
      </c>
      <c r="R31" s="1"/>
      <c r="S31" s="1"/>
      <c r="U31" s="2"/>
      <c r="V31">
        <f t="shared" si="0"/>
        <v>1.9970831307729586E-2</v>
      </c>
      <c r="W31">
        <f t="shared" si="1"/>
        <v>-2.1407164264286571E-4</v>
      </c>
      <c r="X31">
        <f t="shared" si="2"/>
        <v>-1.7237812866310875E-4</v>
      </c>
      <c r="Z31" s="57">
        <f>2%+($AF$36*AE31)</f>
        <v>7.0342399999999999E-2</v>
      </c>
      <c r="AA31" s="58">
        <v>0.48028143576320392</v>
      </c>
      <c r="AB31" s="58">
        <v>0.11217678813858104</v>
      </c>
      <c r="AC31" s="58">
        <v>0.40754176895004857</v>
      </c>
      <c r="AD31" s="38">
        <v>0.72770000000000001</v>
      </c>
      <c r="AE31" s="38">
        <v>4.8000000000000001E-2</v>
      </c>
      <c r="AF31" s="49"/>
      <c r="AG31" s="70" t="s">
        <v>161</v>
      </c>
      <c r="AH31" s="70"/>
    </row>
    <row r="32" spans="1:34" x14ac:dyDescent="0.2">
      <c r="A32" s="5" t="s">
        <v>61</v>
      </c>
      <c r="B32" s="1">
        <v>524.52</v>
      </c>
      <c r="C32" s="20">
        <f t="shared" si="3"/>
        <v>1.9970831307729586E-2</v>
      </c>
      <c r="D32" s="1"/>
      <c r="E32" s="1"/>
      <c r="F32" s="1"/>
      <c r="H32" s="5" t="s">
        <v>61</v>
      </c>
      <c r="I32" s="6">
        <v>140.11000000000001</v>
      </c>
      <c r="J32" s="22">
        <f t="shared" si="4"/>
        <v>-2.1407164264286571E-4</v>
      </c>
      <c r="K32" s="1"/>
      <c r="L32" s="1"/>
      <c r="M32" s="1"/>
      <c r="O32" s="5" t="s">
        <v>61</v>
      </c>
      <c r="P32" s="6">
        <v>580.02</v>
      </c>
      <c r="Q32" s="22">
        <f t="shared" si="5"/>
        <v>-1.7237812866310875E-4</v>
      </c>
      <c r="R32" s="1"/>
      <c r="S32" s="1"/>
      <c r="U32" s="2"/>
      <c r="V32">
        <f t="shared" si="0"/>
        <v>1.1291295968229864E-3</v>
      </c>
      <c r="W32">
        <f t="shared" si="1"/>
        <v>-6.2169577728702574E-2</v>
      </c>
      <c r="X32">
        <f t="shared" si="2"/>
        <v>-5.6051697835066694E-3</v>
      </c>
      <c r="Z32" s="57">
        <f>2%+($AF$36*AE32)</f>
        <v>7.4537600000000009E-2</v>
      </c>
      <c r="AA32" s="39">
        <v>0.25639400950799451</v>
      </c>
      <c r="AB32" s="39">
        <v>0.64732139834456215</v>
      </c>
      <c r="AC32" s="39">
        <v>9.628459216996027E-2</v>
      </c>
      <c r="AD32" s="40">
        <v>0.73309999999999997</v>
      </c>
      <c r="AE32" s="42">
        <f>AE31+$AG$26</f>
        <v>5.2000000000000005E-2</v>
      </c>
      <c r="AF32" s="49"/>
    </row>
    <row r="33" spans="1:35" x14ac:dyDescent="0.2">
      <c r="A33" s="5" t="s">
        <v>62</v>
      </c>
      <c r="B33" s="1">
        <v>514.25</v>
      </c>
      <c r="C33" s="20">
        <f t="shared" si="3"/>
        <v>1.1291295968229864E-3</v>
      </c>
      <c r="D33" s="1"/>
      <c r="E33" s="1"/>
      <c r="F33" s="1"/>
      <c r="H33" s="5" t="s">
        <v>62</v>
      </c>
      <c r="I33" s="6">
        <v>140.13999999999999</v>
      </c>
      <c r="J33" s="22">
        <f t="shared" si="4"/>
        <v>-6.2169577728702574E-2</v>
      </c>
      <c r="K33" s="1"/>
      <c r="L33" s="1"/>
      <c r="M33" s="1"/>
      <c r="O33" s="5" t="s">
        <v>62</v>
      </c>
      <c r="P33" s="6">
        <v>580.12</v>
      </c>
      <c r="Q33" s="22">
        <f t="shared" si="5"/>
        <v>-5.6051697835066694E-3</v>
      </c>
      <c r="R33" s="1"/>
      <c r="S33" s="1"/>
      <c r="U33" s="2"/>
      <c r="V33">
        <f t="shared" si="0"/>
        <v>1.306042884990255E-3</v>
      </c>
      <c r="W33">
        <f t="shared" si="1"/>
        <v>3.4332387346854176E-2</v>
      </c>
      <c r="X33">
        <f t="shared" si="2"/>
        <v>5.6194301277299186E-3</v>
      </c>
      <c r="Z33" s="57">
        <f t="shared" ref="Z33:Z41" si="6">2%+($AF$36*AE33)</f>
        <v>7.8732800000000006E-2</v>
      </c>
      <c r="AA33" s="58">
        <v>0.38405536706694476</v>
      </c>
      <c r="AB33" s="58">
        <v>0.54321395939809225</v>
      </c>
      <c r="AC33" s="58">
        <v>7.2730673536998733E-2</v>
      </c>
      <c r="AD33" s="59">
        <v>0.74319999999999997</v>
      </c>
      <c r="AE33" s="42">
        <f t="shared" ref="AE33:AE35" si="7">AE32+$AG$26</f>
        <v>5.6000000000000008E-2</v>
      </c>
      <c r="AF33" s="49"/>
    </row>
    <row r="34" spans="1:35" x14ac:dyDescent="0.2">
      <c r="A34" s="5" t="s">
        <v>63</v>
      </c>
      <c r="B34" s="1">
        <v>513.66999999999996</v>
      </c>
      <c r="C34" s="20">
        <f t="shared" si="3"/>
        <v>1.306042884990255E-3</v>
      </c>
      <c r="D34" s="1"/>
      <c r="E34" s="1"/>
      <c r="F34" s="1"/>
      <c r="H34" s="5" t="s">
        <v>63</v>
      </c>
      <c r="I34" s="6">
        <v>149.43</v>
      </c>
      <c r="J34" s="22">
        <f t="shared" si="4"/>
        <v>3.4332387346854176E-2</v>
      </c>
      <c r="K34" s="1"/>
      <c r="L34" s="1"/>
      <c r="M34" s="1"/>
      <c r="O34" s="5" t="s">
        <v>63</v>
      </c>
      <c r="P34" s="6">
        <v>583.39</v>
      </c>
      <c r="Q34" s="22">
        <f t="shared" si="5"/>
        <v>5.6194301277299186E-3</v>
      </c>
      <c r="R34" s="1"/>
      <c r="S34" s="1"/>
      <c r="U34" s="2"/>
      <c r="V34">
        <f t="shared" si="0"/>
        <v>1.6828209549860196E-2</v>
      </c>
      <c r="W34">
        <f t="shared" si="1"/>
        <v>4.4537632853734355E-2</v>
      </c>
      <c r="X34">
        <f t="shared" si="2"/>
        <v>8.9743812720664007E-3</v>
      </c>
      <c r="Z34" s="57">
        <f t="shared" si="6"/>
        <v>8.2928000000000016E-2</v>
      </c>
      <c r="AA34" s="58">
        <v>0.48705854607106036</v>
      </c>
      <c r="AB34" s="58">
        <v>0.45919460565964015</v>
      </c>
      <c r="AC34" s="58">
        <v>5.3746848269169083E-2</v>
      </c>
      <c r="AD34" s="59">
        <v>0.74519999999999997</v>
      </c>
      <c r="AE34" s="42">
        <f t="shared" si="7"/>
        <v>6.0000000000000012E-2</v>
      </c>
      <c r="AF34" s="49"/>
    </row>
    <row r="35" spans="1:35" x14ac:dyDescent="0.2">
      <c r="A35" s="5" t="s">
        <v>64</v>
      </c>
      <c r="B35" s="1">
        <v>513</v>
      </c>
      <c r="C35" s="20">
        <f t="shared" si="3"/>
        <v>1.6828209549860196E-2</v>
      </c>
      <c r="D35" s="1"/>
      <c r="E35" s="1"/>
      <c r="F35" s="1"/>
      <c r="H35" s="5" t="s">
        <v>64</v>
      </c>
      <c r="I35" s="6">
        <v>144.47</v>
      </c>
      <c r="J35" s="22">
        <f t="shared" si="4"/>
        <v>4.4537632853734355E-2</v>
      </c>
      <c r="K35" s="1"/>
      <c r="L35" s="1"/>
      <c r="M35" s="1"/>
      <c r="O35" s="5" t="s">
        <v>64</v>
      </c>
      <c r="P35" s="6">
        <v>580.13</v>
      </c>
      <c r="Q35" s="22">
        <f t="shared" si="5"/>
        <v>8.9743812720664007E-3</v>
      </c>
      <c r="R35" s="1"/>
      <c r="S35" s="1"/>
      <c r="U35" s="2"/>
      <c r="V35">
        <f t="shared" si="0"/>
        <v>-2.6687225714625562E-3</v>
      </c>
      <c r="W35">
        <f t="shared" si="1"/>
        <v>2.9935214833569201E-2</v>
      </c>
      <c r="X35">
        <f t="shared" si="2"/>
        <v>4.1039432782647989E-3</v>
      </c>
      <c r="Z35" s="57">
        <f t="shared" si="6"/>
        <v>8.7123200000000012E-2</v>
      </c>
      <c r="AA35" s="58">
        <v>0.57787841791508909</v>
      </c>
      <c r="AB35" s="39">
        <v>0.38527610243361493</v>
      </c>
      <c r="AC35" s="58">
        <v>3.6845479661393704E-2</v>
      </c>
      <c r="AD35" s="59">
        <v>0.75609999999999999</v>
      </c>
      <c r="AE35" s="42">
        <f t="shared" si="7"/>
        <v>6.4000000000000015E-2</v>
      </c>
      <c r="AF35" s="41"/>
    </row>
    <row r="36" spans="1:35" x14ac:dyDescent="0.2">
      <c r="A36" s="5" t="s">
        <v>65</v>
      </c>
      <c r="B36" s="1">
        <v>504.51</v>
      </c>
      <c r="C36" s="20">
        <f t="shared" si="3"/>
        <v>-2.6687225714625562E-3</v>
      </c>
      <c r="D36" s="1"/>
      <c r="E36" s="1"/>
      <c r="F36" s="1"/>
      <c r="H36" s="5" t="s">
        <v>65</v>
      </c>
      <c r="I36" s="6">
        <v>138.31</v>
      </c>
      <c r="J36" s="22">
        <f t="shared" si="4"/>
        <v>2.9935214833569201E-2</v>
      </c>
      <c r="K36" s="1"/>
      <c r="L36" s="1"/>
      <c r="M36" s="1"/>
      <c r="O36" s="5" t="s">
        <v>65</v>
      </c>
      <c r="P36" s="6">
        <v>574.97</v>
      </c>
      <c r="Q36" s="22">
        <f t="shared" si="5"/>
        <v>4.1039432782647989E-3</v>
      </c>
      <c r="R36" s="1"/>
      <c r="S36" s="1"/>
      <c r="U36" s="2"/>
      <c r="V36">
        <f t="shared" si="0"/>
        <v>-3.8204017329657169E-3</v>
      </c>
      <c r="W36">
        <f t="shared" si="1"/>
        <v>-2.3274419957815207E-2</v>
      </c>
      <c r="X36">
        <f t="shared" si="2"/>
        <v>-1.6214802545548856E-3</v>
      </c>
      <c r="Z36" s="57">
        <f t="shared" si="6"/>
        <v>8.9325680000000005E-2</v>
      </c>
      <c r="AA36" s="58">
        <v>0</v>
      </c>
      <c r="AB36" s="39">
        <v>0</v>
      </c>
      <c r="AC36" s="60">
        <v>0.99999998370473697</v>
      </c>
      <c r="AD36" s="59">
        <v>0.78939999999999999</v>
      </c>
      <c r="AE36" s="42">
        <v>6.6100000000000006E-2</v>
      </c>
      <c r="AF36" s="41">
        <v>1.0488</v>
      </c>
      <c r="AG36" s="50"/>
      <c r="AH36" s="71" t="s">
        <v>162</v>
      </c>
      <c r="AI36" s="71"/>
    </row>
    <row r="37" spans="1:35" x14ac:dyDescent="0.2">
      <c r="A37" s="5" t="s">
        <v>66</v>
      </c>
      <c r="B37" s="1">
        <v>505.86</v>
      </c>
      <c r="C37" s="20">
        <f t="shared" si="3"/>
        <v>-3.8204017329657169E-3</v>
      </c>
      <c r="D37" s="1"/>
      <c r="E37" s="1"/>
      <c r="F37" s="1"/>
      <c r="H37" s="5" t="s">
        <v>66</v>
      </c>
      <c r="I37" s="6">
        <v>134.29</v>
      </c>
      <c r="J37" s="22">
        <f t="shared" si="4"/>
        <v>-2.3274419957815207E-2</v>
      </c>
      <c r="K37" s="1"/>
      <c r="L37" s="1"/>
      <c r="M37" s="1"/>
      <c r="O37" s="5" t="s">
        <v>66</v>
      </c>
      <c r="P37" s="6">
        <v>572.62</v>
      </c>
      <c r="Q37" s="22">
        <f t="shared" si="5"/>
        <v>-1.6214802545548856E-3</v>
      </c>
      <c r="R37" s="1"/>
      <c r="S37" s="1"/>
      <c r="U37" s="2"/>
      <c r="V37">
        <f t="shared" si="0"/>
        <v>-4.2942018470950583E-3</v>
      </c>
      <c r="W37">
        <f t="shared" si="1"/>
        <v>3.5033939128532587E-3</v>
      </c>
      <c r="X37">
        <f t="shared" si="2"/>
        <v>-4.5645458016592144E-3</v>
      </c>
      <c r="Z37" s="57">
        <f t="shared" si="6"/>
        <v>9.1318400000000022E-2</v>
      </c>
      <c r="AA37" s="58">
        <v>0.66133454059448193</v>
      </c>
      <c r="AB37" s="39">
        <v>0.31636248186487181</v>
      </c>
      <c r="AC37" s="58">
        <v>2.2302977552285101E-2</v>
      </c>
      <c r="AD37" s="59">
        <v>0.82669999999999999</v>
      </c>
      <c r="AE37" s="42">
        <f>AE35+$AG$26</f>
        <v>6.8000000000000019E-2</v>
      </c>
      <c r="AF37" s="49"/>
      <c r="AH37" s="50"/>
      <c r="AI37" s="50"/>
    </row>
    <row r="38" spans="1:35" x14ac:dyDescent="0.2">
      <c r="A38" s="5" t="s">
        <v>67</v>
      </c>
      <c r="B38" s="1">
        <v>507.8</v>
      </c>
      <c r="C38" s="20">
        <f t="shared" si="3"/>
        <v>-4.2942018470950583E-3</v>
      </c>
      <c r="D38" s="1"/>
      <c r="E38" s="1"/>
      <c r="F38" s="1"/>
      <c r="H38" s="5" t="s">
        <v>67</v>
      </c>
      <c r="I38" s="6">
        <v>137.49</v>
      </c>
      <c r="J38" s="22">
        <f t="shared" si="4"/>
        <v>3.5033939128532587E-3</v>
      </c>
      <c r="K38" s="1"/>
      <c r="L38" s="1"/>
      <c r="M38" s="1"/>
      <c r="O38" s="5" t="s">
        <v>67</v>
      </c>
      <c r="P38" s="6">
        <v>573.54999999999995</v>
      </c>
      <c r="Q38" s="22">
        <f t="shared" si="5"/>
        <v>-4.5645458016592144E-3</v>
      </c>
      <c r="R38" s="1"/>
      <c r="S38" s="1"/>
      <c r="U38" s="2"/>
      <c r="V38">
        <f t="shared" si="0"/>
        <v>-2.2693925462192732E-3</v>
      </c>
      <c r="W38">
        <f t="shared" si="1"/>
        <v>-2.086757664546568E-2</v>
      </c>
      <c r="X38">
        <f t="shared" si="2"/>
        <v>-8.6884710011528865E-3</v>
      </c>
      <c r="Z38" s="57">
        <f t="shared" si="6"/>
        <v>9.3520880000000015E-2</v>
      </c>
      <c r="AA38" s="58">
        <v>0.73970351532132339</v>
      </c>
      <c r="AB38" s="39">
        <v>0.25263860714505393</v>
      </c>
      <c r="AC38" s="58">
        <v>7.6578775332980112E-3</v>
      </c>
      <c r="AD38" s="59">
        <v>0.84670000000000001</v>
      </c>
      <c r="AE38" s="42">
        <f t="shared" ref="AE38:AE41" si="8">AE36+$AG$26</f>
        <v>7.010000000000001E-2</v>
      </c>
      <c r="AF38" s="49"/>
      <c r="AG38" s="50"/>
      <c r="AH38" s="50"/>
      <c r="AI38" s="50"/>
    </row>
    <row r="39" spans="1:35" x14ac:dyDescent="0.2">
      <c r="A39" s="5" t="s">
        <v>68</v>
      </c>
      <c r="B39" s="1">
        <v>509.99</v>
      </c>
      <c r="C39" s="20">
        <f t="shared" si="3"/>
        <v>-2.2693925462192732E-3</v>
      </c>
      <c r="D39" s="1"/>
      <c r="E39" s="1"/>
      <c r="F39" s="1"/>
      <c r="H39" s="5" t="s">
        <v>68</v>
      </c>
      <c r="I39" s="6">
        <v>137.01</v>
      </c>
      <c r="J39" s="22">
        <f t="shared" si="4"/>
        <v>-2.086757664546568E-2</v>
      </c>
      <c r="K39" s="1"/>
      <c r="L39" s="1"/>
      <c r="M39" s="1"/>
      <c r="O39" s="5" t="s">
        <v>68</v>
      </c>
      <c r="P39" s="6">
        <v>576.17999999999995</v>
      </c>
      <c r="Q39" s="22">
        <f t="shared" si="5"/>
        <v>-8.6884710011528865E-3</v>
      </c>
      <c r="R39" s="1"/>
      <c r="S39" s="1"/>
      <c r="U39" s="2"/>
      <c r="V39">
        <f t="shared" si="0"/>
        <v>9.9782651649871212E-3</v>
      </c>
      <c r="W39">
        <f t="shared" si="1"/>
        <v>-2.068178576522528E-3</v>
      </c>
      <c r="X39">
        <f t="shared" si="2"/>
        <v>-2.6767789426722643E-3</v>
      </c>
      <c r="Z39" s="57">
        <f t="shared" si="6"/>
        <v>9.5513600000000018E-2</v>
      </c>
      <c r="AA39" s="58">
        <v>0.81477221130666344</v>
      </c>
      <c r="AB39" s="39">
        <v>0.18522778869343054</v>
      </c>
      <c r="AC39" s="58">
        <v>0</v>
      </c>
      <c r="AD39" s="59">
        <v>0.86560000000000004</v>
      </c>
      <c r="AE39" s="42">
        <f t="shared" si="8"/>
        <v>7.2000000000000022E-2</v>
      </c>
      <c r="AF39" s="49"/>
      <c r="AG39" s="50"/>
      <c r="AH39" s="50"/>
      <c r="AI39" s="50"/>
    </row>
    <row r="40" spans="1:35" x14ac:dyDescent="0.2">
      <c r="A40" s="5" t="s">
        <v>69</v>
      </c>
      <c r="B40" s="1">
        <v>511.15</v>
      </c>
      <c r="C40" s="20">
        <f t="shared" si="3"/>
        <v>9.9782651649871212E-3</v>
      </c>
      <c r="D40" s="1"/>
      <c r="E40" s="1"/>
      <c r="F40" s="1"/>
      <c r="H40" s="5" t="s">
        <v>69</v>
      </c>
      <c r="I40" s="6">
        <v>139.93</v>
      </c>
      <c r="J40" s="22">
        <f t="shared" si="4"/>
        <v>-2.068178576522528E-3</v>
      </c>
      <c r="K40" s="1"/>
      <c r="L40" s="1"/>
      <c r="M40" s="1"/>
      <c r="O40" s="5" t="s">
        <v>69</v>
      </c>
      <c r="P40" s="6">
        <v>581.23</v>
      </c>
      <c r="Q40" s="22">
        <f t="shared" si="5"/>
        <v>-2.6767789426722643E-3</v>
      </c>
      <c r="R40" s="1"/>
      <c r="S40" s="1"/>
      <c r="U40" s="2"/>
      <c r="V40">
        <f t="shared" si="0"/>
        <v>-4.739898092189776E-4</v>
      </c>
      <c r="W40">
        <f t="shared" si="1"/>
        <v>3.9378535118494984E-3</v>
      </c>
      <c r="X40">
        <f t="shared" si="2"/>
        <v>2.1041381968534223E-2</v>
      </c>
      <c r="Z40" s="57">
        <f t="shared" si="6"/>
        <v>9.7716080000000011E-2</v>
      </c>
      <c r="AA40" s="58">
        <v>0.88742816381528666</v>
      </c>
      <c r="AB40" s="39">
        <v>0.1125718361846017</v>
      </c>
      <c r="AC40" s="58">
        <v>0</v>
      </c>
      <c r="AD40" s="59">
        <v>0.874</v>
      </c>
      <c r="AE40" s="42">
        <f t="shared" si="8"/>
        <v>7.4100000000000013E-2</v>
      </c>
      <c r="AF40" s="49"/>
      <c r="AG40" s="50"/>
      <c r="AH40" s="50"/>
      <c r="AI40" s="50"/>
    </row>
    <row r="41" spans="1:35" x14ac:dyDescent="0.2">
      <c r="A41" s="5" t="s">
        <v>70</v>
      </c>
      <c r="B41" s="1">
        <v>506.1</v>
      </c>
      <c r="C41" s="20">
        <f t="shared" si="3"/>
        <v>-4.739898092189776E-4</v>
      </c>
      <c r="D41" s="1"/>
      <c r="E41" s="1"/>
      <c r="F41" s="1"/>
      <c r="H41" s="5" t="s">
        <v>70</v>
      </c>
      <c r="I41" s="6">
        <v>140.22</v>
      </c>
      <c r="J41" s="22">
        <f t="shared" si="4"/>
        <v>3.9378535118494984E-3</v>
      </c>
      <c r="K41" s="1"/>
      <c r="L41" s="1"/>
      <c r="M41" s="1"/>
      <c r="O41" s="5" t="s">
        <v>70</v>
      </c>
      <c r="P41" s="6">
        <v>582.79</v>
      </c>
      <c r="Q41" s="22">
        <f t="shared" si="5"/>
        <v>2.1041381968534223E-2</v>
      </c>
      <c r="R41" s="1"/>
      <c r="S41" s="1"/>
      <c r="U41" s="2"/>
      <c r="V41">
        <f t="shared" si="0"/>
        <v>1.2416771639373714E-2</v>
      </c>
      <c r="W41">
        <f t="shared" si="1"/>
        <v>3.6896807720861124E-2</v>
      </c>
      <c r="X41">
        <f t="shared" si="2"/>
        <v>8.2670906200317251E-3</v>
      </c>
      <c r="Z41" s="57">
        <f t="shared" si="6"/>
        <v>9.9708800000000028E-2</v>
      </c>
      <c r="AA41" s="58">
        <v>0.95785528154123334</v>
      </c>
      <c r="AB41" s="39">
        <v>4.2144718458784522E-2</v>
      </c>
      <c r="AC41" s="58">
        <v>0</v>
      </c>
      <c r="AD41" s="59">
        <v>0.89200000000000002</v>
      </c>
      <c r="AE41" s="42">
        <f t="shared" si="8"/>
        <v>7.6000000000000026E-2</v>
      </c>
      <c r="AI41" s="50"/>
    </row>
    <row r="42" spans="1:35" x14ac:dyDescent="0.2">
      <c r="A42" s="5" t="s">
        <v>71</v>
      </c>
      <c r="B42" s="1">
        <v>506.34</v>
      </c>
      <c r="C42" s="20">
        <f t="shared" si="3"/>
        <v>1.2416771639373714E-2</v>
      </c>
      <c r="D42" s="1"/>
      <c r="E42" s="1"/>
      <c r="F42" s="1"/>
      <c r="H42" s="5" t="s">
        <v>71</v>
      </c>
      <c r="I42" s="6">
        <v>139.66999999999999</v>
      </c>
      <c r="J42" s="22">
        <f t="shared" si="4"/>
        <v>3.6896807720861124E-2</v>
      </c>
      <c r="K42" s="1"/>
      <c r="L42" s="1"/>
      <c r="M42" s="1"/>
      <c r="O42" s="5" t="s">
        <v>71</v>
      </c>
      <c r="P42" s="6">
        <v>570.78</v>
      </c>
      <c r="Q42" s="22">
        <f t="shared" si="5"/>
        <v>8.2670906200317251E-3</v>
      </c>
      <c r="R42" s="1"/>
      <c r="S42" s="1"/>
      <c r="U42" s="2"/>
      <c r="V42">
        <f t="shared" si="0"/>
        <v>2.2238119570771486E-2</v>
      </c>
      <c r="W42">
        <f t="shared" si="1"/>
        <v>3.0762167125803375E-2</v>
      </c>
      <c r="X42">
        <f t="shared" si="2"/>
        <v>2.1859600353796971E-2</v>
      </c>
    </row>
    <row r="43" spans="1:35" x14ac:dyDescent="0.2">
      <c r="A43" s="5" t="s">
        <v>72</v>
      </c>
      <c r="B43" s="1">
        <v>500.13</v>
      </c>
      <c r="C43" s="20">
        <f t="shared" si="3"/>
        <v>2.2238119570771486E-2</v>
      </c>
      <c r="D43" s="1"/>
      <c r="E43" s="1"/>
      <c r="F43" s="1"/>
      <c r="H43" s="5" t="s">
        <v>72</v>
      </c>
      <c r="I43" s="6">
        <v>134.69999999999999</v>
      </c>
      <c r="J43" s="22">
        <f t="shared" si="4"/>
        <v>3.0762167125803375E-2</v>
      </c>
      <c r="K43" s="1"/>
      <c r="L43" s="1"/>
      <c r="M43" s="1"/>
      <c r="O43" s="5" t="s">
        <v>72</v>
      </c>
      <c r="P43" s="6">
        <v>566.1</v>
      </c>
      <c r="Q43" s="22">
        <f t="shared" si="5"/>
        <v>2.1859600353796971E-2</v>
      </c>
      <c r="R43" s="1"/>
      <c r="S43" s="1"/>
      <c r="U43" s="2"/>
      <c r="V43">
        <f t="shared" si="0"/>
        <v>-2.0951732970463488E-2</v>
      </c>
      <c r="W43">
        <f t="shared" si="1"/>
        <v>1.3730509657901013E-2</v>
      </c>
      <c r="X43">
        <f t="shared" si="2"/>
        <v>6.7969104952294579E-3</v>
      </c>
    </row>
    <row r="44" spans="1:35" x14ac:dyDescent="0.2">
      <c r="A44" s="5" t="s">
        <v>73</v>
      </c>
      <c r="B44" s="1">
        <v>489.25</v>
      </c>
      <c r="C44" s="20">
        <f t="shared" si="3"/>
        <v>-2.0951732970463488E-2</v>
      </c>
      <c r="D44" s="1"/>
      <c r="E44" s="1"/>
      <c r="F44" s="1"/>
      <c r="H44" s="5" t="s">
        <v>73</v>
      </c>
      <c r="I44" s="6">
        <v>130.68</v>
      </c>
      <c r="J44" s="22">
        <f t="shared" si="4"/>
        <v>1.3730509657901013E-2</v>
      </c>
      <c r="K44" s="1"/>
      <c r="L44" s="1"/>
      <c r="M44" s="1"/>
      <c r="O44" s="5" t="s">
        <v>73</v>
      </c>
      <c r="P44" s="6">
        <v>553.99</v>
      </c>
      <c r="Q44" s="22">
        <f t="shared" si="5"/>
        <v>6.7969104952294579E-3</v>
      </c>
      <c r="R44" s="1"/>
      <c r="S44" s="1"/>
      <c r="U44" s="2"/>
      <c r="V44">
        <f t="shared" si="0"/>
        <v>2.9246992914813141E-2</v>
      </c>
      <c r="W44">
        <f t="shared" si="1"/>
        <v>-1.135056369353471E-2</v>
      </c>
      <c r="X44">
        <f t="shared" si="2"/>
        <v>-4.2510614602909391E-2</v>
      </c>
    </row>
    <row r="45" spans="1:35" x14ac:dyDescent="0.2">
      <c r="A45" s="5" t="s">
        <v>74</v>
      </c>
      <c r="B45" s="1">
        <v>499.72</v>
      </c>
      <c r="C45" s="20">
        <f t="shared" si="3"/>
        <v>2.9246992914813141E-2</v>
      </c>
      <c r="D45" s="1"/>
      <c r="E45" s="1"/>
      <c r="F45" s="1"/>
      <c r="H45" s="5" t="s">
        <v>74</v>
      </c>
      <c r="I45" s="6">
        <v>128.91</v>
      </c>
      <c r="J45" s="22">
        <f t="shared" si="4"/>
        <v>-1.135056369353471E-2</v>
      </c>
      <c r="K45" s="1"/>
      <c r="L45" s="1"/>
      <c r="M45" s="1"/>
      <c r="O45" s="5" t="s">
        <v>74</v>
      </c>
      <c r="P45" s="6">
        <v>550.25</v>
      </c>
      <c r="Q45" s="22">
        <f t="shared" si="5"/>
        <v>-4.2510614602909391E-2</v>
      </c>
      <c r="R45" s="1"/>
      <c r="S45" s="1"/>
      <c r="U45" s="2"/>
      <c r="V45">
        <f t="shared" si="0"/>
        <v>-2.6038114343029162E-2</v>
      </c>
      <c r="W45">
        <f t="shared" si="1"/>
        <v>-1.2196969696969817E-2</v>
      </c>
      <c r="X45">
        <f t="shared" si="2"/>
        <v>-1.9869356846827002E-2</v>
      </c>
    </row>
    <row r="46" spans="1:35" x14ac:dyDescent="0.2">
      <c r="A46" s="5" t="s">
        <v>75</v>
      </c>
      <c r="B46" s="1">
        <v>485.52</v>
      </c>
      <c r="C46" s="20">
        <f t="shared" si="3"/>
        <v>-2.6038114343029162E-2</v>
      </c>
      <c r="D46" s="1"/>
      <c r="E46" s="1"/>
      <c r="F46" s="1"/>
      <c r="H46" s="5" t="s">
        <v>75</v>
      </c>
      <c r="I46" s="6">
        <v>130.38999999999999</v>
      </c>
      <c r="J46" s="22">
        <f t="shared" si="4"/>
        <v>-1.2196969696969817E-2</v>
      </c>
      <c r="K46" s="1"/>
      <c r="L46" s="1"/>
      <c r="M46" s="1"/>
      <c r="O46" s="5" t="s">
        <v>75</v>
      </c>
      <c r="P46" s="6">
        <v>574.67999999999995</v>
      </c>
      <c r="Q46" s="22">
        <f t="shared" si="5"/>
        <v>-1.9869356846827002E-2</v>
      </c>
      <c r="R46" s="1"/>
      <c r="S46" s="1"/>
      <c r="U46" s="2"/>
      <c r="V46">
        <f t="shared" si="0"/>
        <v>-4.2230249000922204E-2</v>
      </c>
      <c r="W46">
        <f t="shared" si="1"/>
        <v>-1.6759776536312887E-2</v>
      </c>
      <c r="X46">
        <f t="shared" si="2"/>
        <v>1.4518002322880807E-3</v>
      </c>
    </row>
    <row r="47" spans="1:35" x14ac:dyDescent="0.2">
      <c r="A47" s="5" t="s">
        <v>76</v>
      </c>
      <c r="B47" s="1">
        <v>498.5</v>
      </c>
      <c r="C47" s="20">
        <f t="shared" si="3"/>
        <v>-4.2230249000922204E-2</v>
      </c>
      <c r="D47" s="1"/>
      <c r="E47" s="1"/>
      <c r="F47" s="1"/>
      <c r="H47" s="5" t="s">
        <v>76</v>
      </c>
      <c r="I47" s="6">
        <v>132</v>
      </c>
      <c r="J47" s="22">
        <f t="shared" si="4"/>
        <v>-1.6759776536312887E-2</v>
      </c>
      <c r="K47" s="1"/>
      <c r="L47" s="1"/>
      <c r="M47" s="1"/>
      <c r="O47" s="5" t="s">
        <v>76</v>
      </c>
      <c r="P47" s="6">
        <v>586.33000000000004</v>
      </c>
      <c r="Q47" s="22">
        <f t="shared" si="5"/>
        <v>1.4518002322880807E-3</v>
      </c>
      <c r="R47" s="1"/>
      <c r="S47" s="1"/>
      <c r="U47" s="2"/>
      <c r="V47">
        <f t="shared" si="0"/>
        <v>9.1515433534978818E-3</v>
      </c>
      <c r="W47">
        <f t="shared" si="1"/>
        <v>-2.249890782000874E-2</v>
      </c>
      <c r="X47">
        <f t="shared" si="2"/>
        <v>-1.0361555754635599E-2</v>
      </c>
    </row>
    <row r="48" spans="1:35" x14ac:dyDescent="0.2">
      <c r="A48" s="5" t="s">
        <v>77</v>
      </c>
      <c r="B48" s="1">
        <v>520.48</v>
      </c>
      <c r="C48" s="20">
        <f t="shared" si="3"/>
        <v>9.1515433534978818E-3</v>
      </c>
      <c r="D48" s="1"/>
      <c r="E48" s="1"/>
      <c r="F48" s="1"/>
      <c r="H48" s="5" t="s">
        <v>77</v>
      </c>
      <c r="I48" s="6">
        <v>134.25</v>
      </c>
      <c r="J48" s="22">
        <f t="shared" si="4"/>
        <v>-2.249890782000874E-2</v>
      </c>
      <c r="K48" s="1"/>
      <c r="L48" s="1"/>
      <c r="M48" s="1"/>
      <c r="O48" s="5" t="s">
        <v>77</v>
      </c>
      <c r="P48" s="6">
        <v>585.48</v>
      </c>
      <c r="Q48" s="22">
        <f t="shared" si="5"/>
        <v>-1.0361555754635599E-2</v>
      </c>
      <c r="R48" s="1"/>
      <c r="S48" s="1"/>
      <c r="U48" s="2"/>
      <c r="V48">
        <f t="shared" si="0"/>
        <v>-3.3306468239836517E-2</v>
      </c>
      <c r="W48">
        <f t="shared" si="1"/>
        <v>-1.4141124111693326E-2</v>
      </c>
      <c r="X48">
        <f t="shared" si="2"/>
        <v>-1.6032131767246272E-3</v>
      </c>
    </row>
    <row r="49" spans="1:24" x14ac:dyDescent="0.2">
      <c r="A49" s="5" t="s">
        <v>78</v>
      </c>
      <c r="B49" s="1">
        <v>515.76</v>
      </c>
      <c r="C49" s="20">
        <f t="shared" si="3"/>
        <v>-3.3306468239836517E-2</v>
      </c>
      <c r="D49" s="1"/>
      <c r="E49" s="1"/>
      <c r="F49" s="1"/>
      <c r="H49" s="5" t="s">
        <v>78</v>
      </c>
      <c r="I49" s="6">
        <v>137.34</v>
      </c>
      <c r="J49" s="22">
        <f t="shared" si="4"/>
        <v>-1.4141124111693326E-2</v>
      </c>
      <c r="K49" s="1"/>
      <c r="L49" s="1"/>
      <c r="M49" s="1"/>
      <c r="O49" s="5" t="s">
        <v>78</v>
      </c>
      <c r="P49" s="6">
        <v>591.61</v>
      </c>
      <c r="Q49" s="22">
        <f t="shared" si="5"/>
        <v>-1.6032131767246272E-3</v>
      </c>
      <c r="R49" s="1"/>
      <c r="S49" s="1"/>
      <c r="U49" s="2"/>
      <c r="V49">
        <f t="shared" si="0"/>
        <v>-5.6016560802562121E-2</v>
      </c>
      <c r="W49">
        <f t="shared" si="1"/>
        <v>3.1391130524913047E-2</v>
      </c>
      <c r="X49">
        <f t="shared" si="2"/>
        <v>1.287113481359925E-2</v>
      </c>
    </row>
    <row r="50" spans="1:24" x14ac:dyDescent="0.2">
      <c r="A50" s="5" t="s">
        <v>79</v>
      </c>
      <c r="B50" s="1">
        <v>533.53</v>
      </c>
      <c r="C50" s="20">
        <f t="shared" si="3"/>
        <v>-5.6016560802562121E-2</v>
      </c>
      <c r="D50" s="1"/>
      <c r="E50" s="1"/>
      <c r="F50" s="1"/>
      <c r="H50" s="5" t="s">
        <v>79</v>
      </c>
      <c r="I50" s="6">
        <v>139.31</v>
      </c>
      <c r="J50" s="22">
        <f t="shared" si="4"/>
        <v>3.1391130524913047E-2</v>
      </c>
      <c r="K50" s="1"/>
      <c r="L50" s="1"/>
      <c r="M50" s="1"/>
      <c r="O50" s="5" t="s">
        <v>79</v>
      </c>
      <c r="P50" s="6">
        <v>592.55999999999995</v>
      </c>
      <c r="Q50" s="22">
        <f t="shared" si="5"/>
        <v>1.287113481359925E-2</v>
      </c>
      <c r="R50" s="1"/>
      <c r="S50" s="1"/>
      <c r="U50" s="2"/>
      <c r="V50">
        <f t="shared" si="0"/>
        <v>8.151689201241652E-3</v>
      </c>
      <c r="W50">
        <f t="shared" si="1"/>
        <v>-2.6943303796556517E-2</v>
      </c>
      <c r="X50">
        <f t="shared" si="2"/>
        <v>-1.5299939406180574E-2</v>
      </c>
    </row>
    <row r="51" spans="1:24" x14ac:dyDescent="0.2">
      <c r="A51" s="5" t="s">
        <v>80</v>
      </c>
      <c r="B51" s="1">
        <v>565.19000000000005</v>
      </c>
      <c r="C51" s="20">
        <f t="shared" si="3"/>
        <v>8.151689201241652E-3</v>
      </c>
      <c r="D51" s="1"/>
      <c r="E51" s="1"/>
      <c r="F51" s="1"/>
      <c r="H51" s="5" t="s">
        <v>80</v>
      </c>
      <c r="I51" s="6">
        <v>135.07</v>
      </c>
      <c r="J51" s="22">
        <f t="shared" si="4"/>
        <v>-2.6943303796556517E-2</v>
      </c>
      <c r="K51" s="1"/>
      <c r="L51" s="1"/>
      <c r="M51" s="1"/>
      <c r="O51" s="5" t="s">
        <v>80</v>
      </c>
      <c r="P51" s="6">
        <v>585.03</v>
      </c>
      <c r="Q51" s="22">
        <f t="shared" si="5"/>
        <v>-1.5299939406180574E-2</v>
      </c>
      <c r="R51" s="1"/>
      <c r="S51" s="1"/>
      <c r="U51" s="2"/>
      <c r="V51">
        <f t="shared" si="0"/>
        <v>2.3926066627703246E-2</v>
      </c>
      <c r="W51">
        <f t="shared" si="1"/>
        <v>-2.5484414490311691E-2</v>
      </c>
      <c r="X51">
        <f t="shared" si="2"/>
        <v>-9.2716115261471943E-3</v>
      </c>
    </row>
    <row r="52" spans="1:24" x14ac:dyDescent="0.2">
      <c r="A52" s="5" t="s">
        <v>81</v>
      </c>
      <c r="B52" s="1">
        <v>560.62</v>
      </c>
      <c r="C52" s="20">
        <f t="shared" si="3"/>
        <v>2.3926066627703246E-2</v>
      </c>
      <c r="D52" s="1"/>
      <c r="E52" s="1"/>
      <c r="F52" s="1"/>
      <c r="H52" s="5" t="s">
        <v>81</v>
      </c>
      <c r="I52" s="6">
        <v>138.81</v>
      </c>
      <c r="J52" s="22">
        <f t="shared" si="4"/>
        <v>-2.5484414490311691E-2</v>
      </c>
      <c r="K52" s="1"/>
      <c r="L52" s="1"/>
      <c r="M52" s="1"/>
      <c r="O52" s="5" t="s">
        <v>81</v>
      </c>
      <c r="P52" s="6">
        <v>594.12</v>
      </c>
      <c r="Q52" s="22">
        <f t="shared" si="5"/>
        <v>-9.2716115261471943E-3</v>
      </c>
      <c r="R52" s="1"/>
      <c r="S52" s="1"/>
      <c r="U52" s="2"/>
      <c r="V52">
        <f t="shared" si="0"/>
        <v>-5.0696997017823708E-2</v>
      </c>
      <c r="W52">
        <f t="shared" si="1"/>
        <v>-1.8061491796498075E-2</v>
      </c>
      <c r="X52">
        <f t="shared" si="2"/>
        <v>4.825737265415464E-3</v>
      </c>
    </row>
    <row r="53" spans="1:24" x14ac:dyDescent="0.2">
      <c r="A53" s="5" t="s">
        <v>82</v>
      </c>
      <c r="B53" s="1">
        <v>547.52</v>
      </c>
      <c r="C53" s="20">
        <f t="shared" si="3"/>
        <v>-5.0696997017823708E-2</v>
      </c>
      <c r="D53" s="1"/>
      <c r="E53" s="1"/>
      <c r="F53" s="1"/>
      <c r="H53" s="5" t="s">
        <v>82</v>
      </c>
      <c r="I53" s="6">
        <v>142.44</v>
      </c>
      <c r="J53" s="22">
        <f t="shared" si="4"/>
        <v>-1.8061491796498075E-2</v>
      </c>
      <c r="K53" s="1"/>
      <c r="L53" s="1"/>
      <c r="M53" s="1"/>
      <c r="O53" s="5" t="s">
        <v>82</v>
      </c>
      <c r="P53" s="6">
        <v>599.67999999999995</v>
      </c>
      <c r="Q53" s="22">
        <f t="shared" si="5"/>
        <v>4.825737265415464E-3</v>
      </c>
      <c r="R53" s="1"/>
      <c r="S53" s="1"/>
      <c r="U53" s="2"/>
      <c r="V53">
        <f t="shared" si="0"/>
        <v>-5.2098741084048328E-2</v>
      </c>
      <c r="W53">
        <f t="shared" si="1"/>
        <v>-4.823261903120768E-4</v>
      </c>
      <c r="X53">
        <f t="shared" si="2"/>
        <v>-3.1901922466638366E-3</v>
      </c>
    </row>
    <row r="54" spans="1:24" x14ac:dyDescent="0.2">
      <c r="A54" s="5" t="s">
        <v>83</v>
      </c>
      <c r="B54" s="1">
        <v>576.76</v>
      </c>
      <c r="C54" s="20">
        <f t="shared" si="3"/>
        <v>-5.2098741084048328E-2</v>
      </c>
      <c r="D54" s="1"/>
      <c r="E54" s="1"/>
      <c r="F54" s="1"/>
      <c r="H54" s="5" t="s">
        <v>83</v>
      </c>
      <c r="I54" s="6">
        <v>145.06</v>
      </c>
      <c r="J54" s="22">
        <f t="shared" si="4"/>
        <v>-4.823261903120768E-4</v>
      </c>
      <c r="K54" s="1"/>
      <c r="L54" s="1"/>
      <c r="M54" s="1"/>
      <c r="O54" s="5" t="s">
        <v>83</v>
      </c>
      <c r="P54" s="6">
        <v>596.79999999999995</v>
      </c>
      <c r="Q54" s="22">
        <f t="shared" si="5"/>
        <v>-3.1901922466638366E-3</v>
      </c>
      <c r="R54" s="1"/>
      <c r="S54" s="1"/>
      <c r="U54" s="2"/>
      <c r="V54">
        <f t="shared" si="0"/>
        <v>9.1886154050289104E-3</v>
      </c>
      <c r="W54">
        <f t="shared" si="1"/>
        <v>3.4795008912655856E-2</v>
      </c>
      <c r="X54">
        <f t="shared" si="2"/>
        <v>-5.5972628222162868E-3</v>
      </c>
    </row>
    <row r="55" spans="1:24" x14ac:dyDescent="0.2">
      <c r="A55" s="5" t="s">
        <v>84</v>
      </c>
      <c r="B55" s="1">
        <v>608.46</v>
      </c>
      <c r="C55" s="20">
        <f t="shared" si="3"/>
        <v>9.1886154050289104E-3</v>
      </c>
      <c r="D55" s="1"/>
      <c r="E55" s="1"/>
      <c r="F55" s="1"/>
      <c r="H55" s="5" t="s">
        <v>84</v>
      </c>
      <c r="I55" s="6">
        <v>145.13</v>
      </c>
      <c r="J55" s="22">
        <f t="shared" si="4"/>
        <v>3.4795008912655856E-2</v>
      </c>
      <c r="K55" s="1"/>
      <c r="L55" s="1"/>
      <c r="M55" s="1"/>
      <c r="O55" s="5" t="s">
        <v>84</v>
      </c>
      <c r="P55" s="6">
        <v>598.71</v>
      </c>
      <c r="Q55" s="22">
        <f t="shared" si="5"/>
        <v>-5.5972628222162868E-3</v>
      </c>
      <c r="R55" s="1"/>
      <c r="S55" s="1"/>
      <c r="U55" s="2"/>
      <c r="V55">
        <f t="shared" si="0"/>
        <v>-5.3943483066366538E-3</v>
      </c>
      <c r="W55">
        <f t="shared" si="1"/>
        <v>1.1758764968979873E-2</v>
      </c>
      <c r="X55">
        <f t="shared" si="2"/>
        <v>6.1491416130698973E-4</v>
      </c>
    </row>
    <row r="56" spans="1:24" x14ac:dyDescent="0.2">
      <c r="A56" s="5" t="s">
        <v>85</v>
      </c>
      <c r="B56" s="1">
        <v>602.91999999999996</v>
      </c>
      <c r="C56" s="20">
        <f t="shared" si="3"/>
        <v>-5.3943483066366538E-3</v>
      </c>
      <c r="D56" s="1"/>
      <c r="E56" s="1"/>
      <c r="F56" s="1"/>
      <c r="H56" s="5" t="s">
        <v>85</v>
      </c>
      <c r="I56" s="6">
        <v>140.25</v>
      </c>
      <c r="J56" s="22">
        <f t="shared" si="4"/>
        <v>1.1758764968979873E-2</v>
      </c>
      <c r="K56" s="1"/>
      <c r="L56" s="1"/>
      <c r="M56" s="1"/>
      <c r="O56" s="5" t="s">
        <v>85</v>
      </c>
      <c r="P56" s="6">
        <v>602.08000000000004</v>
      </c>
      <c r="Q56" s="22">
        <f t="shared" si="5"/>
        <v>6.1491416130698973E-4</v>
      </c>
      <c r="R56" s="1"/>
      <c r="S56" s="1"/>
      <c r="U56" s="2"/>
      <c r="V56">
        <f t="shared" si="0"/>
        <v>-2.763748827874335E-3</v>
      </c>
      <c r="W56">
        <f t="shared" si="1"/>
        <v>2.7488425925925597E-3</v>
      </c>
      <c r="X56">
        <f t="shared" si="2"/>
        <v>-6.3741598824248458E-3</v>
      </c>
    </row>
    <row r="57" spans="1:24" x14ac:dyDescent="0.2">
      <c r="A57" s="5" t="s">
        <v>86</v>
      </c>
      <c r="B57" s="1">
        <v>606.19000000000005</v>
      </c>
      <c r="C57" s="20">
        <f t="shared" si="3"/>
        <v>-2.763748827874335E-3</v>
      </c>
      <c r="D57" s="1"/>
      <c r="E57" s="1"/>
      <c r="F57" s="1"/>
      <c r="H57" s="5" t="s">
        <v>86</v>
      </c>
      <c r="I57" s="6">
        <v>138.62</v>
      </c>
      <c r="J57" s="22">
        <f t="shared" si="4"/>
        <v>2.7488425925925597E-3</v>
      </c>
      <c r="K57" s="1"/>
      <c r="L57" s="1"/>
      <c r="M57" s="1"/>
      <c r="O57" s="5" t="s">
        <v>86</v>
      </c>
      <c r="P57" s="6">
        <v>601.71</v>
      </c>
      <c r="Q57" s="22">
        <f t="shared" si="5"/>
        <v>-6.3741598824248458E-3</v>
      </c>
      <c r="R57" s="1"/>
      <c r="S57" s="1"/>
      <c r="U57" s="2"/>
      <c r="V57">
        <f t="shared" si="0"/>
        <v>2.9865029865030479E-3</v>
      </c>
      <c r="W57">
        <f t="shared" si="1"/>
        <v>2.1502992684548916E-2</v>
      </c>
      <c r="X57">
        <f t="shared" si="2"/>
        <v>5.1788530168479507E-3</v>
      </c>
    </row>
    <row r="58" spans="1:24" x14ac:dyDescent="0.2">
      <c r="A58" s="5" t="s">
        <v>87</v>
      </c>
      <c r="B58" s="1">
        <v>607.87</v>
      </c>
      <c r="C58" s="20">
        <f t="shared" si="3"/>
        <v>2.9865029865030479E-3</v>
      </c>
      <c r="D58" s="1"/>
      <c r="E58" s="1"/>
      <c r="F58" s="1"/>
      <c r="H58" s="5" t="s">
        <v>87</v>
      </c>
      <c r="I58" s="6">
        <v>138.24</v>
      </c>
      <c r="J58" s="22">
        <f t="shared" si="4"/>
        <v>2.1502992684548916E-2</v>
      </c>
      <c r="K58" s="1"/>
      <c r="L58" s="1"/>
      <c r="M58" s="1"/>
      <c r="O58" s="5" t="s">
        <v>87</v>
      </c>
      <c r="P58" s="6">
        <v>605.57000000000005</v>
      </c>
      <c r="Q58" s="22">
        <f t="shared" si="5"/>
        <v>5.1788530168479507E-3</v>
      </c>
      <c r="R58" s="1"/>
      <c r="S58" s="1"/>
      <c r="U58" s="2"/>
      <c r="V58">
        <f t="shared" si="0"/>
        <v>2.6304034939697019E-3</v>
      </c>
      <c r="W58">
        <f t="shared" si="1"/>
        <v>-1.1540428018406157E-2</v>
      </c>
      <c r="X58">
        <f t="shared" si="2"/>
        <v>-1.1617871605906771E-4</v>
      </c>
    </row>
    <row r="59" spans="1:24" x14ac:dyDescent="0.2">
      <c r="A59" s="5" t="s">
        <v>88</v>
      </c>
      <c r="B59" s="1">
        <v>606.05999999999995</v>
      </c>
      <c r="C59" s="20">
        <f t="shared" si="3"/>
        <v>2.6304034939697019E-3</v>
      </c>
      <c r="D59" s="1"/>
      <c r="E59" s="1"/>
      <c r="F59" s="1"/>
      <c r="H59" s="5" t="s">
        <v>88</v>
      </c>
      <c r="I59" s="6">
        <v>135.33000000000001</v>
      </c>
      <c r="J59" s="22">
        <f t="shared" si="4"/>
        <v>-1.1540428018406157E-2</v>
      </c>
      <c r="K59" s="1"/>
      <c r="L59" s="1"/>
      <c r="M59" s="1"/>
      <c r="O59" s="5" t="s">
        <v>88</v>
      </c>
      <c r="P59" s="6">
        <v>602.45000000000005</v>
      </c>
      <c r="Q59" s="22">
        <f t="shared" si="5"/>
        <v>-1.1617871605906771E-4</v>
      </c>
      <c r="R59" s="1"/>
      <c r="S59" s="1"/>
      <c r="U59" s="2"/>
      <c r="V59">
        <f t="shared" si="0"/>
        <v>1.574098621420994E-3</v>
      </c>
      <c r="W59">
        <f t="shared" si="1"/>
        <v>6.6171605029041736E-3</v>
      </c>
      <c r="X59">
        <f t="shared" si="2"/>
        <v>4.0995900409959152E-3</v>
      </c>
    </row>
    <row r="60" spans="1:24" x14ac:dyDescent="0.2">
      <c r="A60" s="5" t="s">
        <v>89</v>
      </c>
      <c r="B60" s="1">
        <v>604.47</v>
      </c>
      <c r="C60" s="20">
        <f t="shared" si="3"/>
        <v>1.574098621420994E-3</v>
      </c>
      <c r="D60" s="1"/>
      <c r="E60" s="1"/>
      <c r="F60" s="1"/>
      <c r="H60" s="5" t="s">
        <v>89</v>
      </c>
      <c r="I60" s="6">
        <v>136.91</v>
      </c>
      <c r="J60" s="22">
        <f t="shared" si="4"/>
        <v>6.6171605029041736E-3</v>
      </c>
      <c r="K60" s="1"/>
      <c r="L60" s="1"/>
      <c r="M60" s="1"/>
      <c r="O60" s="5" t="s">
        <v>89</v>
      </c>
      <c r="P60" s="6">
        <v>602.52</v>
      </c>
      <c r="Q60" s="22">
        <f t="shared" si="5"/>
        <v>4.0995900409959152E-3</v>
      </c>
      <c r="R60" s="1"/>
      <c r="S60" s="1"/>
      <c r="U60" s="2"/>
      <c r="V60">
        <f t="shared" si="0"/>
        <v>2.5330864239479389E-2</v>
      </c>
      <c r="W60">
        <f t="shared" si="1"/>
        <v>-4.1778216147668079E-2</v>
      </c>
      <c r="X60">
        <f t="shared" si="2"/>
        <v>4.1679865290666918E-4</v>
      </c>
    </row>
    <row r="61" spans="1:24" x14ac:dyDescent="0.2">
      <c r="A61" s="5" t="s">
        <v>90</v>
      </c>
      <c r="B61" s="1">
        <v>603.52</v>
      </c>
      <c r="C61" s="20">
        <f t="shared" si="3"/>
        <v>2.5330864239479389E-2</v>
      </c>
      <c r="D61" s="1"/>
      <c r="E61" s="1"/>
      <c r="F61" s="1"/>
      <c r="H61" s="5" t="s">
        <v>90</v>
      </c>
      <c r="I61" s="6">
        <v>136.01</v>
      </c>
      <c r="J61" s="22">
        <f t="shared" si="4"/>
        <v>-4.1778216147668079E-2</v>
      </c>
      <c r="K61" s="1"/>
      <c r="L61" s="1"/>
      <c r="M61" s="1"/>
      <c r="O61" s="5" t="s">
        <v>90</v>
      </c>
      <c r="P61" s="6">
        <v>600.05999999999995</v>
      </c>
      <c r="Q61" s="22">
        <f t="shared" si="5"/>
        <v>4.1679865290666918E-4</v>
      </c>
      <c r="R61" s="1"/>
      <c r="S61" s="1"/>
      <c r="U61" s="2"/>
      <c r="V61">
        <f t="shared" si="0"/>
        <v>-1.1088523378303461E-2</v>
      </c>
      <c r="W61">
        <f t="shared" si="1"/>
        <v>-3.2183281058229873E-2</v>
      </c>
      <c r="X61">
        <f t="shared" si="2"/>
        <v>1.119409275587091E-2</v>
      </c>
    </row>
    <row r="62" spans="1:24" x14ac:dyDescent="0.2">
      <c r="A62" s="5" t="s">
        <v>91</v>
      </c>
      <c r="B62" s="1">
        <v>588.61</v>
      </c>
      <c r="C62" s="20">
        <f t="shared" si="3"/>
        <v>-1.1088523378303461E-2</v>
      </c>
      <c r="D62" s="1"/>
      <c r="E62" s="1"/>
      <c r="F62" s="1"/>
      <c r="H62" s="5" t="s">
        <v>91</v>
      </c>
      <c r="I62" s="6">
        <v>141.94</v>
      </c>
      <c r="J62" s="22">
        <f t="shared" si="4"/>
        <v>-3.2183281058229873E-2</v>
      </c>
      <c r="K62" s="1"/>
      <c r="L62" s="1"/>
      <c r="M62" s="1"/>
      <c r="O62" s="5" t="s">
        <v>91</v>
      </c>
      <c r="P62" s="6">
        <v>599.80999999999995</v>
      </c>
      <c r="Q62" s="22">
        <f t="shared" si="5"/>
        <v>1.119409275587091E-2</v>
      </c>
      <c r="R62" s="1"/>
      <c r="S62" s="1"/>
      <c r="U62" s="2"/>
      <c r="V62">
        <f t="shared" si="0"/>
        <v>-5.0149613012152594E-3</v>
      </c>
      <c r="W62">
        <f t="shared" si="1"/>
        <v>5.3468604332327363E-3</v>
      </c>
      <c r="X62">
        <f t="shared" si="2"/>
        <v>2.4367077677615478E-2</v>
      </c>
    </row>
    <row r="63" spans="1:24" x14ac:dyDescent="0.2">
      <c r="A63" s="5" t="s">
        <v>92</v>
      </c>
      <c r="B63" s="1">
        <v>595.21</v>
      </c>
      <c r="C63" s="20">
        <f t="shared" si="3"/>
        <v>-5.0149613012152594E-3</v>
      </c>
      <c r="D63" s="1"/>
      <c r="E63" s="1"/>
      <c r="F63" s="1"/>
      <c r="H63" s="5" t="s">
        <v>92</v>
      </c>
      <c r="I63" s="6">
        <v>146.66</v>
      </c>
      <c r="J63" s="22">
        <f t="shared" si="4"/>
        <v>5.3468604332327363E-3</v>
      </c>
      <c r="K63" s="1"/>
      <c r="L63" s="1"/>
      <c r="M63" s="1"/>
      <c r="O63" s="5" t="s">
        <v>92</v>
      </c>
      <c r="P63" s="6">
        <v>593.16999999999996</v>
      </c>
      <c r="Q63" s="22">
        <f t="shared" si="5"/>
        <v>2.4367077677615478E-2</v>
      </c>
      <c r="R63" s="1"/>
      <c r="S63" s="1"/>
      <c r="U63" s="2"/>
      <c r="V63">
        <f t="shared" si="0"/>
        <v>4.0727209464161529E-2</v>
      </c>
      <c r="W63">
        <f t="shared" si="1"/>
        <v>-7.6190476190476364E-3</v>
      </c>
      <c r="X63">
        <f t="shared" si="2"/>
        <v>9.5071822440395692E-4</v>
      </c>
    </row>
    <row r="64" spans="1:24" x14ac:dyDescent="0.2">
      <c r="A64" s="5" t="s">
        <v>93</v>
      </c>
      <c r="B64" s="1">
        <v>598.21</v>
      </c>
      <c r="C64" s="20">
        <f t="shared" si="3"/>
        <v>4.0727209464161529E-2</v>
      </c>
      <c r="D64" s="1"/>
      <c r="E64" s="1"/>
      <c r="F64" s="1"/>
      <c r="H64" s="5" t="s">
        <v>93</v>
      </c>
      <c r="I64" s="6">
        <v>145.88</v>
      </c>
      <c r="J64" s="22">
        <f t="shared" si="4"/>
        <v>-7.6190476190476364E-3</v>
      </c>
      <c r="K64" s="1"/>
      <c r="L64" s="1"/>
      <c r="M64" s="1"/>
      <c r="O64" s="5" t="s">
        <v>93</v>
      </c>
      <c r="P64" s="6">
        <v>579.05999999999995</v>
      </c>
      <c r="Q64" s="22">
        <f t="shared" si="5"/>
        <v>9.5071822440395692E-4</v>
      </c>
      <c r="R64" s="1"/>
      <c r="S64" s="1"/>
      <c r="U64" s="2"/>
      <c r="V64">
        <f t="shared" si="0"/>
        <v>-2.1450459652706866E-2</v>
      </c>
      <c r="W64">
        <f t="shared" si="1"/>
        <v>4.8951048951048959E-2</v>
      </c>
      <c r="X64">
        <f t="shared" si="2"/>
        <v>-1.1246133073544273E-2</v>
      </c>
    </row>
    <row r="65" spans="1:24" x14ac:dyDescent="0.2">
      <c r="A65" s="5" t="s">
        <v>94</v>
      </c>
      <c r="B65" s="1">
        <v>574.79999999999995</v>
      </c>
      <c r="C65" s="20">
        <f t="shared" si="3"/>
        <v>-2.1450459652706866E-2</v>
      </c>
      <c r="D65" s="1"/>
      <c r="E65" s="1"/>
      <c r="F65" s="1"/>
      <c r="H65" s="5" t="s">
        <v>94</v>
      </c>
      <c r="I65" s="6">
        <v>147</v>
      </c>
      <c r="J65" s="22">
        <f t="shared" si="4"/>
        <v>4.8951048951048959E-2</v>
      </c>
      <c r="K65" s="1"/>
      <c r="L65" s="1"/>
      <c r="M65" s="1"/>
      <c r="O65" s="5" t="s">
        <v>94</v>
      </c>
      <c r="P65" s="6">
        <v>578.51</v>
      </c>
      <c r="Q65" s="22">
        <f t="shared" si="5"/>
        <v>-1.1246133073544273E-2</v>
      </c>
      <c r="R65" s="1"/>
      <c r="S65" s="1"/>
      <c r="U65" s="2"/>
      <c r="V65">
        <f t="shared" si="0"/>
        <v>-4.3561537027306807E-3</v>
      </c>
      <c r="W65">
        <f t="shared" si="1"/>
        <v>-1.2890047193069076E-2</v>
      </c>
      <c r="X65">
        <f t="shared" si="2"/>
        <v>-9.3462691115964169E-3</v>
      </c>
    </row>
    <row r="66" spans="1:24" x14ac:dyDescent="0.2">
      <c r="A66" s="5" t="s">
        <v>95</v>
      </c>
      <c r="B66" s="1">
        <v>587.4</v>
      </c>
      <c r="C66" s="20">
        <f t="shared" si="3"/>
        <v>-4.3561537027306807E-3</v>
      </c>
      <c r="D66" s="1"/>
      <c r="E66" s="1"/>
      <c r="F66" s="1"/>
      <c r="H66" s="5" t="s">
        <v>95</v>
      </c>
      <c r="I66" s="6">
        <v>140.13999999999999</v>
      </c>
      <c r="J66" s="22">
        <f t="shared" si="4"/>
        <v>-1.2890047193069076E-2</v>
      </c>
      <c r="K66" s="1"/>
      <c r="L66" s="1"/>
      <c r="M66" s="1"/>
      <c r="O66" s="5" t="s">
        <v>95</v>
      </c>
      <c r="P66" s="6">
        <v>585.09</v>
      </c>
      <c r="Q66" s="22">
        <f t="shared" si="5"/>
        <v>-9.3462691115964169E-3</v>
      </c>
      <c r="R66" s="1"/>
      <c r="S66" s="1"/>
      <c r="U66" s="2"/>
      <c r="V66">
        <f t="shared" si="0"/>
        <v>-1.5400758191171926E-3</v>
      </c>
      <c r="W66">
        <f t="shared" si="1"/>
        <v>-3.2572402044293014E-2</v>
      </c>
      <c r="X66">
        <f t="shared" si="2"/>
        <v>8.3659148725478971E-3</v>
      </c>
    </row>
    <row r="67" spans="1:24" x14ac:dyDescent="0.2">
      <c r="A67" s="5" t="s">
        <v>96</v>
      </c>
      <c r="B67" s="1">
        <v>589.97</v>
      </c>
      <c r="C67" s="20">
        <f t="shared" si="3"/>
        <v>-1.5400758191171926E-3</v>
      </c>
      <c r="D67" s="1"/>
      <c r="E67" s="1"/>
      <c r="F67" s="1"/>
      <c r="H67" s="5" t="s">
        <v>96</v>
      </c>
      <c r="I67" s="6">
        <v>141.97</v>
      </c>
      <c r="J67" s="22">
        <f t="shared" si="4"/>
        <v>-3.2572402044293014E-2</v>
      </c>
      <c r="K67" s="1"/>
      <c r="L67" s="1"/>
      <c r="M67" s="1"/>
      <c r="O67" s="5" t="s">
        <v>96</v>
      </c>
      <c r="P67" s="6">
        <v>590.61</v>
      </c>
      <c r="Q67" s="22">
        <f t="shared" si="5"/>
        <v>8.3659148725478971E-3</v>
      </c>
      <c r="R67" s="1"/>
      <c r="S67" s="1"/>
      <c r="U67" s="2"/>
      <c r="V67">
        <f t="shared" si="0"/>
        <v>-2.1008681821194197E-2</v>
      </c>
      <c r="W67">
        <f t="shared" si="1"/>
        <v>3.3501982770409722E-3</v>
      </c>
      <c r="X67">
        <f t="shared" si="2"/>
        <v>-9.436993691758544E-3</v>
      </c>
    </row>
    <row r="68" spans="1:24" x14ac:dyDescent="0.2">
      <c r="A68" s="5" t="s">
        <v>97</v>
      </c>
      <c r="B68" s="1">
        <v>590.88</v>
      </c>
      <c r="C68" s="20">
        <f t="shared" ref="C68:C127" si="9">(B68/B69)-1</f>
        <v>-2.1008681821194197E-2</v>
      </c>
      <c r="D68" s="1"/>
      <c r="E68" s="1"/>
      <c r="F68" s="1"/>
      <c r="H68" s="5" t="s">
        <v>97</v>
      </c>
      <c r="I68" s="6">
        <v>146.75</v>
      </c>
      <c r="J68" s="22">
        <f t="shared" si="4"/>
        <v>3.3501982770409722E-3</v>
      </c>
      <c r="K68" s="1"/>
      <c r="L68" s="1"/>
      <c r="M68" s="1"/>
      <c r="O68" s="5" t="s">
        <v>97</v>
      </c>
      <c r="P68" s="6">
        <v>585.71</v>
      </c>
      <c r="Q68" s="22">
        <f t="shared" si="5"/>
        <v>-9.436993691758544E-3</v>
      </c>
      <c r="R68" s="1"/>
      <c r="S68" s="1"/>
      <c r="U68" s="2"/>
      <c r="V68">
        <f t="shared" ref="V68:V127" si="10">(B69/B70)-1</f>
        <v>-1.4306245100601189E-2</v>
      </c>
      <c r="W68">
        <f t="shared" ref="W68:W127" si="11">(I69/I70)-1</f>
        <v>-1.3622875640679877E-2</v>
      </c>
      <c r="X68">
        <f t="shared" ref="X68:X127" si="12">P69/P70-1</f>
        <v>2.7472993369173082E-3</v>
      </c>
    </row>
    <row r="69" spans="1:24" x14ac:dyDescent="0.2">
      <c r="A69" s="5" t="s">
        <v>98</v>
      </c>
      <c r="B69" s="1">
        <v>603.55999999999995</v>
      </c>
      <c r="C69" s="20">
        <f t="shared" si="9"/>
        <v>-1.4306245100601189E-2</v>
      </c>
      <c r="D69" s="1"/>
      <c r="E69" s="1"/>
      <c r="F69" s="1"/>
      <c r="H69" s="5" t="s">
        <v>98</v>
      </c>
      <c r="I69" s="6">
        <v>146.26</v>
      </c>
      <c r="J69" s="22">
        <f t="shared" ref="J69:J128" si="13">(I69/I70)-1</f>
        <v>-1.3622875640679877E-2</v>
      </c>
      <c r="K69" s="1"/>
      <c r="L69" s="1"/>
      <c r="M69" s="1"/>
      <c r="O69" s="5" t="s">
        <v>98</v>
      </c>
      <c r="P69" s="6">
        <v>591.29</v>
      </c>
      <c r="Q69" s="22">
        <f t="shared" ref="Q69:Q128" si="14">P69/P70-1</f>
        <v>2.7472993369173082E-3</v>
      </c>
      <c r="R69" s="1"/>
      <c r="S69" s="1"/>
      <c r="U69" s="2"/>
      <c r="V69">
        <f t="shared" si="10"/>
        <v>-1.6921940725042495E-2</v>
      </c>
      <c r="W69">
        <f t="shared" si="11"/>
        <v>2.0860585197934656E-2</v>
      </c>
      <c r="X69">
        <f t="shared" si="12"/>
        <v>-1.6183659509151349E-2</v>
      </c>
    </row>
    <row r="70" spans="1:24" x14ac:dyDescent="0.2">
      <c r="A70" s="5" t="s">
        <v>99</v>
      </c>
      <c r="B70" s="1">
        <v>612.32000000000005</v>
      </c>
      <c r="C70" s="20">
        <f t="shared" si="9"/>
        <v>-1.6921940725042495E-2</v>
      </c>
      <c r="D70" s="1"/>
      <c r="E70" s="1"/>
      <c r="F70" s="1"/>
      <c r="H70" s="5" t="s">
        <v>99</v>
      </c>
      <c r="I70" s="6">
        <v>148.28</v>
      </c>
      <c r="J70" s="22">
        <f t="shared" si="13"/>
        <v>2.0860585197934656E-2</v>
      </c>
      <c r="K70" s="1"/>
      <c r="L70" s="1"/>
      <c r="M70" s="1"/>
      <c r="O70" s="5" t="s">
        <v>99</v>
      </c>
      <c r="P70" s="6">
        <v>589.66999999999996</v>
      </c>
      <c r="Q70" s="22">
        <f t="shared" si="14"/>
        <v>-1.6183659509151349E-2</v>
      </c>
      <c r="R70" s="1"/>
      <c r="S70" s="1"/>
      <c r="U70" s="2"/>
      <c r="V70">
        <f t="shared" si="10"/>
        <v>1.5322922439930942E-2</v>
      </c>
      <c r="W70">
        <f t="shared" si="11"/>
        <v>-1.6054735130741071E-2</v>
      </c>
      <c r="X70">
        <f t="shared" si="12"/>
        <v>2.2187734497578271E-2</v>
      </c>
    </row>
    <row r="71" spans="1:24" x14ac:dyDescent="0.2">
      <c r="A71" s="5" t="s">
        <v>100</v>
      </c>
      <c r="B71" s="1">
        <v>622.86</v>
      </c>
      <c r="C71" s="20">
        <f t="shared" si="9"/>
        <v>1.5322922439930942E-2</v>
      </c>
      <c r="D71" s="1"/>
      <c r="E71" s="1"/>
      <c r="F71" s="1"/>
      <c r="H71" s="5" t="s">
        <v>100</v>
      </c>
      <c r="I71" s="6">
        <v>145.25</v>
      </c>
      <c r="J71" s="22">
        <f t="shared" si="13"/>
        <v>-1.6054735130741071E-2</v>
      </c>
      <c r="K71" s="1"/>
      <c r="L71" s="1"/>
      <c r="M71" s="1"/>
      <c r="O71" s="5" t="s">
        <v>100</v>
      </c>
      <c r="P71" s="6">
        <v>599.37</v>
      </c>
      <c r="Q71" s="22">
        <f t="shared" si="14"/>
        <v>2.2187734497578271E-2</v>
      </c>
      <c r="R71" s="1"/>
      <c r="S71" s="1"/>
      <c r="U71" s="2"/>
      <c r="V71">
        <f t="shared" si="10"/>
        <v>1.7110455284013781E-2</v>
      </c>
      <c r="W71">
        <f t="shared" si="11"/>
        <v>-8.3965876267885209E-3</v>
      </c>
      <c r="X71">
        <f t="shared" si="12"/>
        <v>1.2187122389090366E-2</v>
      </c>
    </row>
    <row r="72" spans="1:24" x14ac:dyDescent="0.2">
      <c r="A72" s="5" t="s">
        <v>101</v>
      </c>
      <c r="B72" s="1">
        <v>613.46</v>
      </c>
      <c r="C72" s="20">
        <f t="shared" si="9"/>
        <v>1.7110455284013781E-2</v>
      </c>
      <c r="D72" s="1"/>
      <c r="E72" s="1"/>
      <c r="F72" s="1"/>
      <c r="H72" s="5" t="s">
        <v>101</v>
      </c>
      <c r="I72" s="6">
        <v>147.62</v>
      </c>
      <c r="J72" s="22">
        <f t="shared" si="13"/>
        <v>-8.3965876267885209E-3</v>
      </c>
      <c r="K72" s="1"/>
      <c r="L72" s="1"/>
      <c r="M72" s="1"/>
      <c r="O72" s="5" t="s">
        <v>101</v>
      </c>
      <c r="P72" s="6">
        <v>586.36</v>
      </c>
      <c r="Q72" s="22">
        <f t="shared" si="14"/>
        <v>1.2187122389090366E-2</v>
      </c>
      <c r="R72" s="1"/>
      <c r="S72" s="1"/>
      <c r="U72" s="2"/>
      <c r="V72">
        <f t="shared" si="10"/>
        <v>1.468683232112511E-2</v>
      </c>
      <c r="W72">
        <f t="shared" si="11"/>
        <v>2.245879120879124E-2</v>
      </c>
      <c r="X72">
        <f t="shared" si="12"/>
        <v>-2.3168757588021061E-2</v>
      </c>
    </row>
    <row r="73" spans="1:24" x14ac:dyDescent="0.2">
      <c r="A73" s="5" t="s">
        <v>102</v>
      </c>
      <c r="B73" s="1">
        <v>603.14</v>
      </c>
      <c r="C73" s="20">
        <f t="shared" si="9"/>
        <v>1.468683232112511E-2</v>
      </c>
      <c r="D73" s="1"/>
      <c r="E73" s="1"/>
      <c r="F73" s="1"/>
      <c r="H73" s="5" t="s">
        <v>102</v>
      </c>
      <c r="I73" s="6">
        <v>148.87</v>
      </c>
      <c r="J73" s="22">
        <f t="shared" si="13"/>
        <v>2.245879120879124E-2</v>
      </c>
      <c r="K73" s="1"/>
      <c r="L73" s="1"/>
      <c r="M73" s="1"/>
      <c r="O73" s="5" t="s">
        <v>102</v>
      </c>
      <c r="P73" s="6">
        <v>579.29999999999995</v>
      </c>
      <c r="Q73" s="22">
        <f t="shared" si="14"/>
        <v>-2.3168757588021061E-2</v>
      </c>
      <c r="R73" s="1"/>
      <c r="S73" s="1"/>
      <c r="U73" s="2"/>
      <c r="V73">
        <f t="shared" si="10"/>
        <v>5.2313847679070768E-2</v>
      </c>
      <c r="W73">
        <f t="shared" si="11"/>
        <v>4.0743388134381719E-2</v>
      </c>
      <c r="X73">
        <f t="shared" si="12"/>
        <v>0.1309787169120451</v>
      </c>
    </row>
    <row r="74" spans="1:24" x14ac:dyDescent="0.2">
      <c r="A74" s="5" t="s">
        <v>103</v>
      </c>
      <c r="B74" s="1">
        <v>594.41</v>
      </c>
      <c r="C74" s="20">
        <f t="shared" si="9"/>
        <v>5.2313847679070768E-2</v>
      </c>
      <c r="D74" s="1"/>
      <c r="E74" s="1"/>
      <c r="F74" s="1"/>
      <c r="H74" s="5" t="s">
        <v>103</v>
      </c>
      <c r="I74" s="6">
        <v>145.6</v>
      </c>
      <c r="J74" s="22">
        <f t="shared" si="13"/>
        <v>4.0743388134381719E-2</v>
      </c>
      <c r="K74" s="1"/>
      <c r="L74" s="1"/>
      <c r="M74" s="1"/>
      <c r="O74" s="5" t="s">
        <v>103</v>
      </c>
      <c r="P74" s="6">
        <v>593.04</v>
      </c>
      <c r="Q74" s="22">
        <f t="shared" si="14"/>
        <v>0.1309787169120451</v>
      </c>
      <c r="R74" s="1"/>
      <c r="S74" s="1"/>
      <c r="U74" s="2"/>
      <c r="V74">
        <f t="shared" si="10"/>
        <v>1.6593477791375655E-2</v>
      </c>
      <c r="W74">
        <f t="shared" si="11"/>
        <v>2.8374007644810462E-2</v>
      </c>
      <c r="X74">
        <f t="shared" si="12"/>
        <v>3.0278023381471675E-2</v>
      </c>
    </row>
    <row r="75" spans="1:24" x14ac:dyDescent="0.2">
      <c r="A75" s="5" t="s">
        <v>104</v>
      </c>
      <c r="B75" s="1">
        <v>564.86</v>
      </c>
      <c r="C75" s="20">
        <f t="shared" si="9"/>
        <v>1.6593477791375655E-2</v>
      </c>
      <c r="D75" s="1"/>
      <c r="E75" s="1"/>
      <c r="F75" s="1"/>
      <c r="H75" s="5" t="s">
        <v>104</v>
      </c>
      <c r="I75" s="6">
        <v>139.9</v>
      </c>
      <c r="J75" s="22">
        <f t="shared" si="13"/>
        <v>2.8374007644810462E-2</v>
      </c>
      <c r="K75" s="1"/>
      <c r="L75" s="1"/>
      <c r="M75" s="1"/>
      <c r="O75" s="5" t="s">
        <v>104</v>
      </c>
      <c r="P75" s="6">
        <v>524.36</v>
      </c>
      <c r="Q75" s="22">
        <f t="shared" si="14"/>
        <v>3.0278023381471675E-2</v>
      </c>
      <c r="R75" s="1"/>
      <c r="S75" s="1"/>
      <c r="U75" s="2"/>
      <c r="V75">
        <f t="shared" si="10"/>
        <v>-1.724473372362445E-2</v>
      </c>
      <c r="W75">
        <f t="shared" si="11"/>
        <v>4.8009454169437582E-3</v>
      </c>
      <c r="X75">
        <f t="shared" si="12"/>
        <v>-1.5170572185994269E-2</v>
      </c>
    </row>
    <row r="76" spans="1:24" x14ac:dyDescent="0.2">
      <c r="A76" s="5" t="s">
        <v>105</v>
      </c>
      <c r="B76" s="1">
        <v>555.64</v>
      </c>
      <c r="C76" s="20">
        <f t="shared" si="9"/>
        <v>-1.724473372362445E-2</v>
      </c>
      <c r="D76" s="1"/>
      <c r="E76" s="1"/>
      <c r="F76" s="1"/>
      <c r="H76" s="5" t="s">
        <v>105</v>
      </c>
      <c r="I76" s="6">
        <v>136.04</v>
      </c>
      <c r="J76" s="22">
        <f t="shared" si="13"/>
        <v>4.8009454169437582E-3</v>
      </c>
      <c r="K76" s="1"/>
      <c r="L76" s="1"/>
      <c r="M76" s="1"/>
      <c r="O76" s="5" t="s">
        <v>105</v>
      </c>
      <c r="P76" s="6">
        <v>508.95</v>
      </c>
      <c r="Q76" s="22">
        <f t="shared" si="14"/>
        <v>-1.5170572185994269E-2</v>
      </c>
      <c r="R76" s="1"/>
      <c r="S76" s="1"/>
      <c r="U76" s="2"/>
      <c r="V76">
        <f t="shared" si="10"/>
        <v>5.4237649820392253E-3</v>
      </c>
      <c r="W76">
        <f t="shared" si="11"/>
        <v>1.9887005649717349E-2</v>
      </c>
      <c r="X76">
        <f t="shared" si="12"/>
        <v>3.0083068084774123E-3</v>
      </c>
    </row>
    <row r="77" spans="1:24" x14ac:dyDescent="0.2">
      <c r="A77" s="5" t="s">
        <v>106</v>
      </c>
      <c r="B77" s="1">
        <v>565.39</v>
      </c>
      <c r="C77" s="20">
        <f t="shared" si="9"/>
        <v>5.4237649820392253E-3</v>
      </c>
      <c r="D77" s="1"/>
      <c r="E77" s="1"/>
      <c r="F77" s="1"/>
      <c r="H77" s="5" t="s">
        <v>106</v>
      </c>
      <c r="I77" s="6">
        <v>135.38999999999999</v>
      </c>
      <c r="J77" s="22">
        <f t="shared" si="13"/>
        <v>1.9887005649717349E-2</v>
      </c>
      <c r="K77" s="1"/>
      <c r="L77" s="1"/>
      <c r="M77" s="1"/>
      <c r="O77" s="5" t="s">
        <v>106</v>
      </c>
      <c r="P77" s="6">
        <v>516.79</v>
      </c>
      <c r="Q77" s="22">
        <f t="shared" si="14"/>
        <v>3.0083068084774123E-3</v>
      </c>
      <c r="R77" s="1"/>
      <c r="S77" s="1"/>
      <c r="U77" s="2"/>
      <c r="V77">
        <f t="shared" si="10"/>
        <v>2.7281967154653142E-3</v>
      </c>
      <c r="W77">
        <f t="shared" si="11"/>
        <v>-4.7226010191631418E-2</v>
      </c>
      <c r="X77">
        <f t="shared" si="12"/>
        <v>-1.2590789751058651E-2</v>
      </c>
    </row>
    <row r="78" spans="1:24" x14ac:dyDescent="0.2">
      <c r="A78" s="5" t="s">
        <v>107</v>
      </c>
      <c r="B78" s="1">
        <v>562.34</v>
      </c>
      <c r="C78" s="20">
        <f t="shared" si="9"/>
        <v>2.7281967154653142E-3</v>
      </c>
      <c r="D78" s="1"/>
      <c r="E78" s="1"/>
      <c r="F78" s="1"/>
      <c r="H78" s="5" t="s">
        <v>107</v>
      </c>
      <c r="I78" s="6">
        <v>132.75</v>
      </c>
      <c r="J78" s="22">
        <f t="shared" si="13"/>
        <v>-4.7226010191631418E-2</v>
      </c>
      <c r="K78" s="1"/>
      <c r="L78" s="1"/>
      <c r="M78" s="1"/>
      <c r="O78" s="5" t="s">
        <v>107</v>
      </c>
      <c r="P78" s="6">
        <v>515.24</v>
      </c>
      <c r="Q78" s="22">
        <f t="shared" si="14"/>
        <v>-1.2590789751058651E-2</v>
      </c>
      <c r="R78" s="1"/>
      <c r="S78" s="1"/>
      <c r="U78" s="2"/>
      <c r="V78">
        <f t="shared" si="10"/>
        <v>1.4821957927066975E-3</v>
      </c>
      <c r="W78">
        <f t="shared" si="11"/>
        <v>-1.352308128009061E-2</v>
      </c>
      <c r="X78">
        <f t="shared" si="12"/>
        <v>2.1084914701918755E-4</v>
      </c>
    </row>
    <row r="79" spans="1:24" x14ac:dyDescent="0.2">
      <c r="A79" s="5" t="s">
        <v>108</v>
      </c>
      <c r="B79" s="1">
        <v>560.80999999999995</v>
      </c>
      <c r="C79" s="20">
        <f t="shared" si="9"/>
        <v>1.4821957927066975E-3</v>
      </c>
      <c r="D79" s="1"/>
      <c r="E79" s="1"/>
      <c r="F79" s="1"/>
      <c r="H79" s="5" t="s">
        <v>108</v>
      </c>
      <c r="I79" s="6">
        <v>139.33000000000001</v>
      </c>
      <c r="J79" s="22">
        <f t="shared" si="13"/>
        <v>-1.352308128009061E-2</v>
      </c>
      <c r="K79" s="1"/>
      <c r="L79" s="1"/>
      <c r="M79" s="1"/>
      <c r="O79" s="5" t="s">
        <v>108</v>
      </c>
      <c r="P79" s="6">
        <v>521.80999999999995</v>
      </c>
      <c r="Q79" s="22">
        <f t="shared" si="14"/>
        <v>2.1084914701918755E-4</v>
      </c>
      <c r="R79" s="1"/>
      <c r="S79" s="1"/>
      <c r="U79" s="2"/>
      <c r="V79">
        <f t="shared" si="10"/>
        <v>-5.5054343965333929E-3</v>
      </c>
      <c r="W79">
        <f t="shared" si="11"/>
        <v>5.1953597608711544E-3</v>
      </c>
      <c r="X79">
        <f t="shared" si="12"/>
        <v>1.3435700575816778E-3</v>
      </c>
    </row>
    <row r="80" spans="1:24" x14ac:dyDescent="0.2">
      <c r="A80" s="5" t="s">
        <v>109</v>
      </c>
      <c r="B80" s="1">
        <v>559.98</v>
      </c>
      <c r="C80" s="20">
        <f t="shared" si="9"/>
        <v>-5.5054343965333929E-3</v>
      </c>
      <c r="D80" s="1"/>
      <c r="E80" s="1"/>
      <c r="F80" s="1"/>
      <c r="H80" s="5" t="s">
        <v>109</v>
      </c>
      <c r="I80" s="6">
        <v>141.24</v>
      </c>
      <c r="J80" s="22">
        <f t="shared" si="13"/>
        <v>5.1953597608711544E-3</v>
      </c>
      <c r="K80" s="1"/>
      <c r="L80" s="1"/>
      <c r="M80" s="1"/>
      <c r="O80" s="5" t="s">
        <v>109</v>
      </c>
      <c r="P80" s="6">
        <v>521.70000000000005</v>
      </c>
      <c r="Q80" s="22">
        <f t="shared" si="14"/>
        <v>1.3435700575816778E-3</v>
      </c>
      <c r="R80" s="1"/>
      <c r="S80" s="1"/>
      <c r="U80" s="2"/>
      <c r="V80">
        <f t="shared" si="10"/>
        <v>1.2091038406829568E-3</v>
      </c>
      <c r="W80">
        <f t="shared" si="11"/>
        <v>-7.2069525895570585E-3</v>
      </c>
      <c r="X80">
        <f t="shared" si="12"/>
        <v>2.1428431391769864E-2</v>
      </c>
    </row>
    <row r="81" spans="1:24" x14ac:dyDescent="0.2">
      <c r="A81" s="5" t="s">
        <v>110</v>
      </c>
      <c r="B81" s="1">
        <v>563.08000000000004</v>
      </c>
      <c r="C81" s="20">
        <f t="shared" si="9"/>
        <v>1.2091038406829568E-3</v>
      </c>
      <c r="D81" s="1"/>
      <c r="E81" s="1"/>
      <c r="F81" s="1"/>
      <c r="H81" s="5" t="s">
        <v>110</v>
      </c>
      <c r="I81" s="6">
        <v>140.51</v>
      </c>
      <c r="J81" s="22">
        <f t="shared" si="13"/>
        <v>-7.2069525895570585E-3</v>
      </c>
      <c r="K81" s="1"/>
      <c r="L81" s="1"/>
      <c r="M81" s="1"/>
      <c r="O81" s="5" t="s">
        <v>110</v>
      </c>
      <c r="P81" s="6">
        <v>521</v>
      </c>
      <c r="Q81" s="22">
        <f t="shared" si="14"/>
        <v>2.1428431391769864E-2</v>
      </c>
      <c r="R81" s="1"/>
      <c r="S81" s="1"/>
      <c r="U81" s="2"/>
      <c r="V81">
        <f t="shared" si="10"/>
        <v>6.6765711421770124E-3</v>
      </c>
      <c r="W81">
        <f t="shared" si="11"/>
        <v>8.0484330484329458E-3</v>
      </c>
      <c r="X81">
        <f t="shared" si="12"/>
        <v>-2.2685903699871557E-2</v>
      </c>
    </row>
    <row r="82" spans="1:24" x14ac:dyDescent="0.2">
      <c r="A82" s="5" t="s">
        <v>111</v>
      </c>
      <c r="B82" s="1">
        <v>562.4</v>
      </c>
      <c r="C82" s="20">
        <f t="shared" si="9"/>
        <v>6.6765711421770124E-3</v>
      </c>
      <c r="D82" s="1"/>
      <c r="E82" s="1"/>
      <c r="F82" s="1"/>
      <c r="H82" s="5" t="s">
        <v>111</v>
      </c>
      <c r="I82" s="6">
        <v>141.53</v>
      </c>
      <c r="J82" s="22">
        <f t="shared" si="13"/>
        <v>8.0484330484329458E-3</v>
      </c>
      <c r="K82" s="1"/>
      <c r="L82" s="1"/>
      <c r="M82" s="1"/>
      <c r="O82" s="5" t="s">
        <v>111</v>
      </c>
      <c r="P82" s="6">
        <v>510.07</v>
      </c>
      <c r="Q82" s="22">
        <f t="shared" si="14"/>
        <v>-2.2685903699871557E-2</v>
      </c>
      <c r="R82" s="1"/>
      <c r="S82" s="1"/>
      <c r="U82" s="2"/>
      <c r="V82">
        <f t="shared" si="10"/>
        <v>-6.7735741715262421E-3</v>
      </c>
      <c r="W82">
        <f t="shared" si="11"/>
        <v>6.091006807595889E-3</v>
      </c>
      <c r="X82">
        <f t="shared" si="12"/>
        <v>1.4106674438939093E-2</v>
      </c>
    </row>
    <row r="83" spans="1:24" x14ac:dyDescent="0.2">
      <c r="A83" s="5" t="s">
        <v>112</v>
      </c>
      <c r="B83" s="1">
        <v>558.66999999999996</v>
      </c>
      <c r="C83" s="20">
        <f t="shared" si="9"/>
        <v>-6.7735741715262421E-3</v>
      </c>
      <c r="D83" s="1"/>
      <c r="E83" s="1"/>
      <c r="F83" s="1"/>
      <c r="H83" s="5" t="s">
        <v>112</v>
      </c>
      <c r="I83" s="6">
        <v>140.4</v>
      </c>
      <c r="J83" s="22">
        <f t="shared" si="13"/>
        <v>6.091006807595889E-3</v>
      </c>
      <c r="K83" s="1"/>
      <c r="L83" s="1"/>
      <c r="M83" s="1"/>
      <c r="O83" s="5" t="s">
        <v>112</v>
      </c>
      <c r="P83" s="6">
        <v>521.91</v>
      </c>
      <c r="Q83" s="22">
        <f t="shared" si="14"/>
        <v>1.4106674438939093E-2</v>
      </c>
      <c r="R83" s="1"/>
      <c r="S83" s="1"/>
      <c r="U83" s="2"/>
      <c r="V83">
        <f t="shared" si="10"/>
        <v>-9.1600901916571997E-3</v>
      </c>
      <c r="W83">
        <f t="shared" si="11"/>
        <v>-2.8067976041231346E-2</v>
      </c>
      <c r="X83">
        <f t="shared" si="12"/>
        <v>-2.1134680265250116E-3</v>
      </c>
    </row>
    <row r="84" spans="1:24" x14ac:dyDescent="0.2">
      <c r="A84" s="5" t="s">
        <v>113</v>
      </c>
      <c r="B84" s="1">
        <v>562.48</v>
      </c>
      <c r="C84" s="20">
        <f t="shared" si="9"/>
        <v>-9.1600901916571997E-3</v>
      </c>
      <c r="D84" s="1"/>
      <c r="E84" s="1"/>
      <c r="F84" s="1"/>
      <c r="H84" s="5" t="s">
        <v>113</v>
      </c>
      <c r="I84" s="6">
        <v>139.55000000000001</v>
      </c>
      <c r="J84" s="22">
        <f t="shared" si="13"/>
        <v>-2.8067976041231346E-2</v>
      </c>
      <c r="K84" s="1"/>
      <c r="L84" s="1"/>
      <c r="M84" s="1"/>
      <c r="O84" s="5" t="s">
        <v>113</v>
      </c>
      <c r="P84" s="6">
        <v>514.65</v>
      </c>
      <c r="Q84" s="22">
        <f t="shared" si="14"/>
        <v>-2.1134680265250116E-3</v>
      </c>
      <c r="R84" s="1"/>
      <c r="S84" s="1"/>
      <c r="U84" s="2"/>
      <c r="V84">
        <f t="shared" si="10"/>
        <v>-2.8280841047620964E-3</v>
      </c>
      <c r="W84">
        <f t="shared" si="11"/>
        <v>-8.3507306889341049E-4</v>
      </c>
      <c r="X84">
        <f t="shared" si="12"/>
        <v>9.5099466278503186E-4</v>
      </c>
    </row>
    <row r="85" spans="1:24" x14ac:dyDescent="0.2">
      <c r="A85" s="5" t="s">
        <v>114</v>
      </c>
      <c r="B85" s="1">
        <v>567.67999999999995</v>
      </c>
      <c r="C85" s="20">
        <f t="shared" si="9"/>
        <v>-2.8280841047620964E-3</v>
      </c>
      <c r="D85" s="1"/>
      <c r="E85" s="1"/>
      <c r="F85" s="1"/>
      <c r="H85" s="5" t="s">
        <v>114</v>
      </c>
      <c r="I85" s="6">
        <v>143.58000000000001</v>
      </c>
      <c r="J85" s="22">
        <f t="shared" si="13"/>
        <v>-8.3507306889341049E-4</v>
      </c>
      <c r="K85" s="1"/>
      <c r="L85" s="1"/>
      <c r="M85" s="1"/>
      <c r="O85" s="5" t="s">
        <v>114</v>
      </c>
      <c r="P85" s="6">
        <v>515.74</v>
      </c>
      <c r="Q85" s="22">
        <f t="shared" si="14"/>
        <v>9.5099466278503186E-4</v>
      </c>
      <c r="R85" s="1"/>
      <c r="S85" s="1"/>
      <c r="U85" s="2"/>
      <c r="V85">
        <f t="shared" si="10"/>
        <v>3.277937366723771E-3</v>
      </c>
      <c r="W85">
        <f t="shared" si="11"/>
        <v>4.137981013116887E-2</v>
      </c>
      <c r="X85">
        <f t="shared" si="12"/>
        <v>-2.0232367985700384E-2</v>
      </c>
    </row>
    <row r="86" spans="1:24" x14ac:dyDescent="0.2">
      <c r="A86" s="5" t="s">
        <v>115</v>
      </c>
      <c r="B86" s="1">
        <v>569.29</v>
      </c>
      <c r="C86" s="20">
        <f t="shared" si="9"/>
        <v>3.277937366723771E-3</v>
      </c>
      <c r="D86" s="1"/>
      <c r="E86" s="1"/>
      <c r="F86" s="1"/>
      <c r="H86" s="5" t="s">
        <v>115</v>
      </c>
      <c r="I86" s="6">
        <v>143.69999999999999</v>
      </c>
      <c r="J86" s="22">
        <f t="shared" si="13"/>
        <v>4.137981013116887E-2</v>
      </c>
      <c r="K86" s="1"/>
      <c r="L86" s="1"/>
      <c r="M86" s="1"/>
      <c r="O86" s="5" t="s">
        <v>115</v>
      </c>
      <c r="P86" s="6">
        <v>515.25</v>
      </c>
      <c r="Q86" s="22">
        <f t="shared" si="14"/>
        <v>-2.0232367985700384E-2</v>
      </c>
      <c r="R86" s="1"/>
      <c r="S86" s="1"/>
      <c r="U86" s="2"/>
      <c r="V86">
        <f t="shared" si="10"/>
        <v>6.313511979711528E-3</v>
      </c>
      <c r="W86">
        <f t="shared" si="11"/>
        <v>7.8147823546597106E-3</v>
      </c>
      <c r="X86">
        <f t="shared" si="12"/>
        <v>-9.4986606888425307E-4</v>
      </c>
    </row>
    <row r="87" spans="1:24" x14ac:dyDescent="0.2">
      <c r="A87" s="5" t="s">
        <v>116</v>
      </c>
      <c r="B87" s="1">
        <v>567.42999999999995</v>
      </c>
      <c r="C87" s="20">
        <f t="shared" si="9"/>
        <v>6.313511979711528E-3</v>
      </c>
      <c r="D87" s="1"/>
      <c r="E87" s="1"/>
      <c r="F87" s="1"/>
      <c r="H87" s="5" t="s">
        <v>116</v>
      </c>
      <c r="I87" s="6">
        <v>137.99</v>
      </c>
      <c r="J87" s="22">
        <f t="shared" si="13"/>
        <v>7.8147823546597106E-3</v>
      </c>
      <c r="K87" s="1"/>
      <c r="L87" s="1"/>
      <c r="M87" s="1"/>
      <c r="O87" s="5" t="s">
        <v>116</v>
      </c>
      <c r="P87" s="6">
        <v>525.89</v>
      </c>
      <c r="Q87" s="22">
        <f t="shared" si="14"/>
        <v>-9.4986606888425307E-4</v>
      </c>
      <c r="R87" s="1"/>
      <c r="S87" s="1"/>
      <c r="U87" s="2"/>
      <c r="V87">
        <f t="shared" si="10"/>
        <v>-9.294398763089351E-3</v>
      </c>
      <c r="W87">
        <f t="shared" si="11"/>
        <v>8.9160710338218596E-3</v>
      </c>
      <c r="X87">
        <f t="shared" si="12"/>
        <v>-1.6311047889995267E-3</v>
      </c>
    </row>
    <row r="88" spans="1:24" x14ac:dyDescent="0.2">
      <c r="A88" s="5" t="s">
        <v>117</v>
      </c>
      <c r="B88" s="1">
        <v>563.87</v>
      </c>
      <c r="C88" s="20">
        <f t="shared" si="9"/>
        <v>-9.294398763089351E-3</v>
      </c>
      <c r="D88" s="1"/>
      <c r="E88" s="1"/>
      <c r="F88" s="1"/>
      <c r="H88" s="5" t="s">
        <v>117</v>
      </c>
      <c r="I88" s="6">
        <v>136.91999999999999</v>
      </c>
      <c r="J88" s="22">
        <f t="shared" si="13"/>
        <v>8.9160710338218596E-3</v>
      </c>
      <c r="K88" s="1"/>
      <c r="L88" s="1"/>
      <c r="M88" s="1"/>
      <c r="O88" s="5" t="s">
        <v>117</v>
      </c>
      <c r="P88" s="6">
        <v>526.39</v>
      </c>
      <c r="Q88" s="22">
        <f t="shared" si="14"/>
        <v>-1.6311047889995267E-3</v>
      </c>
      <c r="R88" s="1"/>
      <c r="S88" s="1"/>
      <c r="U88" s="2"/>
      <c r="V88">
        <f t="shared" si="10"/>
        <v>2.7067994802945083E-2</v>
      </c>
      <c r="W88">
        <f t="shared" si="11"/>
        <v>3.1309370012919002E-2</v>
      </c>
      <c r="X88">
        <f t="shared" si="12"/>
        <v>1.4332435552135481E-2</v>
      </c>
    </row>
    <row r="89" spans="1:24" x14ac:dyDescent="0.2">
      <c r="A89" s="5" t="s">
        <v>118</v>
      </c>
      <c r="B89" s="1">
        <v>569.16</v>
      </c>
      <c r="C89" s="20">
        <f t="shared" si="9"/>
        <v>2.7067994802945083E-2</v>
      </c>
      <c r="D89" s="1"/>
      <c r="E89" s="1"/>
      <c r="F89" s="1"/>
      <c r="H89" s="5" t="s">
        <v>118</v>
      </c>
      <c r="I89" s="6">
        <v>135.71</v>
      </c>
      <c r="J89" s="22">
        <f t="shared" si="13"/>
        <v>3.1309370012919002E-2</v>
      </c>
      <c r="K89" s="1"/>
      <c r="L89" s="1"/>
      <c r="M89" s="1"/>
      <c r="O89" s="5" t="s">
        <v>118</v>
      </c>
      <c r="P89" s="6">
        <v>527.25</v>
      </c>
      <c r="Q89" s="22">
        <f t="shared" si="14"/>
        <v>1.4332435552135481E-2</v>
      </c>
      <c r="R89" s="1"/>
      <c r="S89" s="1"/>
      <c r="U89" s="2"/>
      <c r="V89">
        <f t="shared" si="10"/>
        <v>-8.1132169327961079E-2</v>
      </c>
      <c r="W89">
        <f t="shared" si="11"/>
        <v>-4.6863682456902755E-2</v>
      </c>
      <c r="X89">
        <f t="shared" si="12"/>
        <v>-7.1130591921875208E-4</v>
      </c>
    </row>
    <row r="90" spans="1:24" x14ac:dyDescent="0.2">
      <c r="A90" s="5" t="s">
        <v>119</v>
      </c>
      <c r="B90" s="1">
        <v>554.16</v>
      </c>
      <c r="C90" s="20">
        <f t="shared" si="9"/>
        <v>-8.1132169327961079E-2</v>
      </c>
      <c r="D90" s="1"/>
      <c r="E90" s="1"/>
      <c r="F90" s="1"/>
      <c r="H90" s="5" t="s">
        <v>119</v>
      </c>
      <c r="I90" s="6">
        <v>131.59</v>
      </c>
      <c r="J90" s="22">
        <f t="shared" si="13"/>
        <v>-4.6863682456902755E-2</v>
      </c>
      <c r="K90" s="1"/>
      <c r="L90" s="1"/>
      <c r="M90" s="1"/>
      <c r="O90" s="5" t="s">
        <v>119</v>
      </c>
      <c r="P90" s="6">
        <v>519.79999999999995</v>
      </c>
      <c r="Q90" s="22">
        <f t="shared" si="14"/>
        <v>-7.1130591921875208E-4</v>
      </c>
      <c r="R90" s="1"/>
      <c r="S90" s="1"/>
      <c r="U90" s="2"/>
      <c r="V90">
        <f t="shared" si="10"/>
        <v>1.2303612192829494E-2</v>
      </c>
      <c r="W90">
        <f t="shared" si="11"/>
        <v>2.4259959937680931E-2</v>
      </c>
      <c r="X90">
        <f t="shared" si="12"/>
        <v>1.2496350364963327E-2</v>
      </c>
    </row>
    <row r="91" spans="1:24" x14ac:dyDescent="0.2">
      <c r="A91" s="5" t="s">
        <v>120</v>
      </c>
      <c r="B91" s="1">
        <v>603.09</v>
      </c>
      <c r="C91" s="20">
        <f t="shared" si="9"/>
        <v>1.2303612192829494E-2</v>
      </c>
      <c r="D91" s="1"/>
      <c r="E91" s="1"/>
      <c r="F91" s="1"/>
      <c r="H91" s="5" t="s">
        <v>120</v>
      </c>
      <c r="I91" s="6">
        <v>138.06</v>
      </c>
      <c r="J91" s="22">
        <f t="shared" si="13"/>
        <v>2.4259959937680931E-2</v>
      </c>
      <c r="K91" s="1"/>
      <c r="L91" s="1"/>
      <c r="M91" s="1"/>
      <c r="O91" s="5" t="s">
        <v>120</v>
      </c>
      <c r="P91" s="6">
        <v>520.16999999999996</v>
      </c>
      <c r="Q91" s="22">
        <f t="shared" si="14"/>
        <v>1.2496350364963327E-2</v>
      </c>
      <c r="R91" s="1"/>
      <c r="S91" s="1"/>
      <c r="U91" s="2"/>
      <c r="V91">
        <f t="shared" si="10"/>
        <v>5.7102549460896768E-4</v>
      </c>
      <c r="W91">
        <f t="shared" si="11"/>
        <v>-7.4183976261243956E-5</v>
      </c>
      <c r="X91">
        <f t="shared" si="12"/>
        <v>2.4958103902322115E-2</v>
      </c>
    </row>
    <row r="92" spans="1:24" x14ac:dyDescent="0.2">
      <c r="A92" s="5" t="s">
        <v>121</v>
      </c>
      <c r="B92" s="1">
        <v>595.76</v>
      </c>
      <c r="C92" s="20">
        <f t="shared" si="9"/>
        <v>5.7102549460896768E-4</v>
      </c>
      <c r="D92" s="1"/>
      <c r="E92" s="1"/>
      <c r="F92" s="1"/>
      <c r="H92" s="5" t="s">
        <v>121</v>
      </c>
      <c r="I92" s="6">
        <v>134.79</v>
      </c>
      <c r="J92" s="22">
        <f t="shared" si="13"/>
        <v>-7.4183976261243956E-5</v>
      </c>
      <c r="K92" s="1"/>
      <c r="L92" s="1"/>
      <c r="M92" s="1"/>
      <c r="O92" s="5" t="s">
        <v>121</v>
      </c>
      <c r="P92" s="6">
        <v>513.75</v>
      </c>
      <c r="Q92" s="22">
        <f t="shared" si="14"/>
        <v>2.4958103902322115E-2</v>
      </c>
      <c r="R92" s="1"/>
      <c r="S92" s="1"/>
      <c r="U92" s="2"/>
      <c r="V92">
        <f t="shared" si="10"/>
        <v>1.0968486824232349E-2</v>
      </c>
      <c r="W92">
        <f t="shared" si="11"/>
        <v>1.6284680337756541E-2</v>
      </c>
      <c r="X92">
        <f t="shared" si="12"/>
        <v>-2.8844814895859772E-3</v>
      </c>
    </row>
    <row r="93" spans="1:24" x14ac:dyDescent="0.2">
      <c r="A93" s="5" t="s">
        <v>122</v>
      </c>
      <c r="B93" s="1">
        <v>595.41999999999996</v>
      </c>
      <c r="C93" s="20">
        <f t="shared" si="9"/>
        <v>1.0968486824232349E-2</v>
      </c>
      <c r="D93" s="1"/>
      <c r="E93" s="1"/>
      <c r="F93" s="1"/>
      <c r="H93" s="5" t="s">
        <v>122</v>
      </c>
      <c r="I93" s="6">
        <v>134.80000000000001</v>
      </c>
      <c r="J93" s="22">
        <f t="shared" si="13"/>
        <v>1.6284680337756541E-2</v>
      </c>
      <c r="K93" s="1"/>
      <c r="L93" s="1"/>
      <c r="M93" s="1"/>
      <c r="O93" s="5" t="s">
        <v>122</v>
      </c>
      <c r="P93" s="6">
        <v>501.24</v>
      </c>
      <c r="Q93" s="22">
        <f t="shared" si="14"/>
        <v>-2.8844814895859772E-3</v>
      </c>
      <c r="R93" s="1"/>
      <c r="S93" s="1"/>
      <c r="U93" s="2"/>
      <c r="V93">
        <f t="shared" si="10"/>
        <v>1.6570008285004212E-2</v>
      </c>
      <c r="W93">
        <f t="shared" si="11"/>
        <v>-1.8061408789886713E-3</v>
      </c>
      <c r="X93">
        <f t="shared" si="12"/>
        <v>1.7343965028737918E-2</v>
      </c>
    </row>
    <row r="94" spans="1:24" x14ac:dyDescent="0.2">
      <c r="A94" s="5" t="s">
        <v>123</v>
      </c>
      <c r="B94" s="1">
        <v>588.96</v>
      </c>
      <c r="C94" s="20">
        <f t="shared" si="9"/>
        <v>1.6570008285004212E-2</v>
      </c>
      <c r="D94" s="1"/>
      <c r="E94" s="1"/>
      <c r="F94" s="1"/>
      <c r="H94" s="5" t="s">
        <v>123</v>
      </c>
      <c r="I94" s="6">
        <v>132.63999999999999</v>
      </c>
      <c r="J94" s="22">
        <f t="shared" si="13"/>
        <v>-1.8061408789886713E-3</v>
      </c>
      <c r="K94" s="1"/>
      <c r="L94" s="1"/>
      <c r="M94" s="1"/>
      <c r="O94" s="5" t="s">
        <v>123</v>
      </c>
      <c r="P94" s="6">
        <v>502.69</v>
      </c>
      <c r="Q94" s="22">
        <f t="shared" si="14"/>
        <v>1.7343965028737918E-2</v>
      </c>
      <c r="R94" s="1"/>
      <c r="S94" s="1"/>
      <c r="U94" s="2"/>
      <c r="V94">
        <f t="shared" si="10"/>
        <v>-3.3887808989730983E-3</v>
      </c>
      <c r="W94">
        <f t="shared" si="11"/>
        <v>4.0482342807924176E-2</v>
      </c>
      <c r="X94">
        <f t="shared" si="12"/>
        <v>3.9416473647853056E-3</v>
      </c>
    </row>
    <row r="95" spans="1:24" x14ac:dyDescent="0.2">
      <c r="A95" s="5" t="s">
        <v>124</v>
      </c>
      <c r="B95" s="1">
        <v>579.36</v>
      </c>
      <c r="C95" s="20">
        <f t="shared" si="9"/>
        <v>-3.3887808989730983E-3</v>
      </c>
      <c r="D95" s="1"/>
      <c r="E95" s="1"/>
      <c r="F95" s="1"/>
      <c r="H95" s="5" t="s">
        <v>124</v>
      </c>
      <c r="I95" s="6">
        <v>132.88</v>
      </c>
      <c r="J95" s="22">
        <f t="shared" si="13"/>
        <v>4.0482342807924176E-2</v>
      </c>
      <c r="K95" s="1"/>
      <c r="L95" s="1"/>
      <c r="M95" s="1"/>
      <c r="O95" s="5" t="s">
        <v>124</v>
      </c>
      <c r="P95" s="6">
        <v>494.12</v>
      </c>
      <c r="Q95" s="22">
        <f t="shared" si="14"/>
        <v>3.9416473647853056E-3</v>
      </c>
      <c r="R95" s="1"/>
      <c r="S95" s="1"/>
      <c r="U95" s="2"/>
      <c r="V95">
        <f t="shared" si="10"/>
        <v>-1.2921520019017252E-2</v>
      </c>
      <c r="W95">
        <f t="shared" si="11"/>
        <v>2.2416139620526687E-2</v>
      </c>
      <c r="X95">
        <f t="shared" si="12"/>
        <v>-1.0959571358987175E-3</v>
      </c>
    </row>
    <row r="96" spans="1:24" x14ac:dyDescent="0.2">
      <c r="A96" s="5" t="s">
        <v>125</v>
      </c>
      <c r="B96" s="1">
        <v>581.33000000000004</v>
      </c>
      <c r="C96" s="20">
        <f t="shared" si="9"/>
        <v>-1.2921520019017252E-2</v>
      </c>
      <c r="D96" s="1"/>
      <c r="E96" s="1"/>
      <c r="F96" s="1"/>
      <c r="H96" s="5" t="s">
        <v>125</v>
      </c>
      <c r="I96" s="6">
        <v>127.71</v>
      </c>
      <c r="J96" s="22">
        <f t="shared" si="13"/>
        <v>2.2416139620526687E-2</v>
      </c>
      <c r="K96" s="1"/>
      <c r="L96" s="1"/>
      <c r="M96" s="1"/>
      <c r="O96" s="5" t="s">
        <v>125</v>
      </c>
      <c r="P96" s="6">
        <v>492.18</v>
      </c>
      <c r="Q96" s="22">
        <f t="shared" si="14"/>
        <v>-1.0959571358987175E-3</v>
      </c>
      <c r="R96" s="1"/>
      <c r="S96" s="1"/>
      <c r="U96" s="2"/>
      <c r="V96">
        <f t="shared" si="10"/>
        <v>-2.6249386103066596E-3</v>
      </c>
      <c r="W96">
        <f t="shared" si="11"/>
        <v>1.6851188537935435E-2</v>
      </c>
      <c r="X96">
        <f t="shared" si="12"/>
        <v>1.8647922265867312E-2</v>
      </c>
    </row>
    <row r="97" spans="1:24" x14ac:dyDescent="0.2">
      <c r="A97" s="5" t="s">
        <v>126</v>
      </c>
      <c r="B97" s="1">
        <v>588.94000000000005</v>
      </c>
      <c r="C97" s="20">
        <f t="shared" si="9"/>
        <v>-2.6249386103066596E-3</v>
      </c>
      <c r="D97" s="1"/>
      <c r="E97" s="1"/>
      <c r="F97" s="1"/>
      <c r="H97" s="5" t="s">
        <v>126</v>
      </c>
      <c r="I97" s="6">
        <v>124.91</v>
      </c>
      <c r="J97" s="22">
        <f t="shared" si="13"/>
        <v>1.6851188537935435E-2</v>
      </c>
      <c r="K97" s="1"/>
      <c r="L97" s="1"/>
      <c r="M97" s="1"/>
      <c r="O97" s="5" t="s">
        <v>126</v>
      </c>
      <c r="P97" s="6">
        <v>492.72</v>
      </c>
      <c r="Q97" s="22">
        <f t="shared" si="14"/>
        <v>1.8647922265867312E-2</v>
      </c>
      <c r="R97" s="1"/>
      <c r="S97" s="1"/>
      <c r="U97" s="2"/>
      <c r="V97">
        <f t="shared" si="10"/>
        <v>7.4569951699010595E-4</v>
      </c>
      <c r="W97">
        <f t="shared" si="11"/>
        <v>3.3658700774150008E-2</v>
      </c>
      <c r="X97">
        <f t="shared" si="12"/>
        <v>-1.1969932184001997E-2</v>
      </c>
    </row>
    <row r="98" spans="1:24" x14ac:dyDescent="0.2">
      <c r="A98" s="5" t="s">
        <v>1</v>
      </c>
      <c r="B98" s="1">
        <v>590.49</v>
      </c>
      <c r="C98" s="20">
        <f t="shared" si="9"/>
        <v>7.4569951699010595E-4</v>
      </c>
      <c r="D98" s="1"/>
      <c r="E98" s="1"/>
      <c r="F98" s="1"/>
      <c r="H98" s="5" t="s">
        <v>1</v>
      </c>
      <c r="I98" s="6">
        <v>122.84</v>
      </c>
      <c r="J98" s="22">
        <f t="shared" si="13"/>
        <v>3.3658700774150008E-2</v>
      </c>
      <c r="K98" s="1"/>
      <c r="L98" s="1"/>
      <c r="M98" s="1"/>
      <c r="O98" s="5" t="s">
        <v>1</v>
      </c>
      <c r="P98" s="6">
        <v>483.7</v>
      </c>
      <c r="Q98" s="22">
        <f t="shared" si="14"/>
        <v>-1.1969932184001997E-2</v>
      </c>
      <c r="R98" s="1"/>
      <c r="S98" s="1"/>
      <c r="U98" s="2"/>
      <c r="V98">
        <f t="shared" si="10"/>
        <v>1.5454248197291021E-2</v>
      </c>
      <c r="W98">
        <f t="shared" si="11"/>
        <v>1.5813317377553648E-2</v>
      </c>
      <c r="X98">
        <f t="shared" si="12"/>
        <v>3.7109174782163912E-3</v>
      </c>
    </row>
    <row r="99" spans="1:24" x14ac:dyDescent="0.2">
      <c r="A99" s="5" t="s">
        <v>2</v>
      </c>
      <c r="B99" s="1">
        <v>590.04999999999995</v>
      </c>
      <c r="C99" s="20">
        <f t="shared" si="9"/>
        <v>1.5454248197291021E-2</v>
      </c>
      <c r="D99" s="1"/>
      <c r="E99" s="1"/>
      <c r="F99" s="1"/>
      <c r="H99" s="5" t="s">
        <v>2</v>
      </c>
      <c r="I99" s="6">
        <v>118.84</v>
      </c>
      <c r="J99" s="22">
        <f t="shared" si="13"/>
        <v>1.5813317377553648E-2</v>
      </c>
      <c r="K99" s="1"/>
      <c r="L99" s="1"/>
      <c r="M99" s="1"/>
      <c r="O99" s="5" t="s">
        <v>2</v>
      </c>
      <c r="P99" s="6">
        <v>489.56</v>
      </c>
      <c r="Q99" s="22">
        <f t="shared" si="14"/>
        <v>3.7109174782163912E-3</v>
      </c>
      <c r="R99" s="1"/>
      <c r="S99" s="1"/>
      <c r="U99" s="2"/>
      <c r="V99">
        <f t="shared" si="10"/>
        <v>-2.3693020860159342E-3</v>
      </c>
      <c r="W99">
        <f t="shared" si="11"/>
        <v>-3.656427571440346E-2</v>
      </c>
      <c r="X99">
        <f t="shared" si="12"/>
        <v>-9.9864006332839317E-3</v>
      </c>
    </row>
    <row r="100" spans="1:24" x14ac:dyDescent="0.2">
      <c r="A100" s="5" t="s">
        <v>3</v>
      </c>
      <c r="B100" s="1">
        <v>581.07000000000005</v>
      </c>
      <c r="C100" s="20">
        <f t="shared" si="9"/>
        <v>-2.3693020860159342E-3</v>
      </c>
      <c r="D100" s="1"/>
      <c r="E100" s="1"/>
      <c r="F100" s="1"/>
      <c r="H100" s="5" t="s">
        <v>3</v>
      </c>
      <c r="I100" s="6">
        <v>116.99</v>
      </c>
      <c r="J100" s="22">
        <f t="shared" si="13"/>
        <v>-3.656427571440346E-2</v>
      </c>
      <c r="K100" s="1"/>
      <c r="L100" s="1"/>
      <c r="M100" s="1"/>
      <c r="O100" s="5" t="s">
        <v>3</v>
      </c>
      <c r="P100" s="6">
        <v>487.75</v>
      </c>
      <c r="Q100" s="22">
        <f t="shared" si="14"/>
        <v>-9.9864006332839317E-3</v>
      </c>
      <c r="R100" s="1"/>
      <c r="S100" s="1"/>
      <c r="U100" s="2"/>
      <c r="V100">
        <f t="shared" si="10"/>
        <v>4.8651726101134329E-3</v>
      </c>
      <c r="W100">
        <f t="shared" si="11"/>
        <v>3.2951643463219327E-4</v>
      </c>
      <c r="X100">
        <f t="shared" si="12"/>
        <v>-6.8138292510835363E-3</v>
      </c>
    </row>
    <row r="101" spans="1:24" x14ac:dyDescent="0.2">
      <c r="A101" s="5" t="s">
        <v>4</v>
      </c>
      <c r="B101" s="1">
        <v>582.45000000000005</v>
      </c>
      <c r="C101" s="20">
        <f t="shared" si="9"/>
        <v>4.8651726101134329E-3</v>
      </c>
      <c r="D101" s="1"/>
      <c r="E101" s="1"/>
      <c r="F101" s="1"/>
      <c r="H101" s="5" t="s">
        <v>4</v>
      </c>
      <c r="I101" s="6">
        <v>121.43</v>
      </c>
      <c r="J101" s="22">
        <f t="shared" si="13"/>
        <v>3.2951643463219327E-4</v>
      </c>
      <c r="K101" s="1"/>
      <c r="L101" s="1"/>
      <c r="M101" s="1"/>
      <c r="O101" s="5" t="s">
        <v>4</v>
      </c>
      <c r="P101" s="6">
        <v>492.67</v>
      </c>
      <c r="Q101" s="22">
        <f t="shared" si="14"/>
        <v>-6.8138292510835363E-3</v>
      </c>
      <c r="R101" s="1"/>
      <c r="S101" s="1"/>
      <c r="U101" s="2"/>
      <c r="V101">
        <f t="shared" si="10"/>
        <v>1.2259653167077111E-2</v>
      </c>
      <c r="W101">
        <f t="shared" si="11"/>
        <v>-2.1285172942030139E-2</v>
      </c>
      <c r="X101">
        <f t="shared" si="12"/>
        <v>3.1953404655489237E-3</v>
      </c>
    </row>
    <row r="102" spans="1:24" x14ac:dyDescent="0.2">
      <c r="A102" s="5" t="s">
        <v>5</v>
      </c>
      <c r="B102" s="1">
        <v>579.63</v>
      </c>
      <c r="C102" s="20">
        <f t="shared" si="9"/>
        <v>1.2259653167077111E-2</v>
      </c>
      <c r="D102" s="1"/>
      <c r="E102" s="1"/>
      <c r="F102" s="1"/>
      <c r="H102" s="5" t="s">
        <v>5</v>
      </c>
      <c r="I102" s="6">
        <v>121.39</v>
      </c>
      <c r="J102" s="22">
        <f t="shared" si="13"/>
        <v>-2.1285172942030139E-2</v>
      </c>
      <c r="K102" s="1"/>
      <c r="L102" s="1"/>
      <c r="M102" s="1"/>
      <c r="O102" s="5" t="s">
        <v>5</v>
      </c>
      <c r="P102" s="6">
        <v>496.05</v>
      </c>
      <c r="Q102" s="22">
        <f t="shared" si="14"/>
        <v>3.1953404655489237E-3</v>
      </c>
      <c r="R102" s="1"/>
      <c r="S102" s="1"/>
      <c r="U102" s="2"/>
      <c r="V102">
        <f t="shared" si="10"/>
        <v>-2.612739718869217E-3</v>
      </c>
      <c r="W102">
        <f t="shared" si="11"/>
        <v>4.2914979757084915E-3</v>
      </c>
      <c r="X102">
        <f t="shared" si="12"/>
        <v>1.1765428056965233E-2</v>
      </c>
    </row>
    <row r="103" spans="1:24" x14ac:dyDescent="0.2">
      <c r="A103" s="5" t="s">
        <v>6</v>
      </c>
      <c r="B103" s="1">
        <v>572.61</v>
      </c>
      <c r="C103" s="20">
        <f t="shared" si="9"/>
        <v>-2.612739718869217E-3</v>
      </c>
      <c r="D103" s="1"/>
      <c r="E103" s="1"/>
      <c r="F103" s="1"/>
      <c r="H103" s="5" t="s">
        <v>6</v>
      </c>
      <c r="I103" s="6">
        <v>124.03</v>
      </c>
      <c r="J103" s="22">
        <f t="shared" si="13"/>
        <v>4.2914979757084915E-3</v>
      </c>
      <c r="K103" s="1"/>
      <c r="L103" s="1"/>
      <c r="M103" s="1"/>
      <c r="O103" s="5" t="s">
        <v>6</v>
      </c>
      <c r="P103" s="6">
        <v>494.47</v>
      </c>
      <c r="Q103" s="22">
        <f t="shared" si="14"/>
        <v>1.1765428056965233E-2</v>
      </c>
      <c r="R103" s="1"/>
      <c r="S103" s="1"/>
      <c r="U103" s="2"/>
      <c r="V103">
        <f t="shared" si="10"/>
        <v>1.9546588945706933E-3</v>
      </c>
      <c r="W103">
        <f t="shared" si="11"/>
        <v>2.1843455237464893E-2</v>
      </c>
      <c r="X103">
        <f t="shared" si="12"/>
        <v>-1.3802566793122861E-2</v>
      </c>
    </row>
    <row r="104" spans="1:24" x14ac:dyDescent="0.2">
      <c r="A104" s="5" t="s">
        <v>7</v>
      </c>
      <c r="B104" s="1">
        <v>574.11</v>
      </c>
      <c r="C104" s="20">
        <f t="shared" si="9"/>
        <v>1.9546588945706933E-3</v>
      </c>
      <c r="D104" s="1"/>
      <c r="E104" s="1"/>
      <c r="F104" s="1"/>
      <c r="H104" s="5" t="s">
        <v>7</v>
      </c>
      <c r="I104" s="6">
        <v>123.5</v>
      </c>
      <c r="J104" s="22">
        <f t="shared" si="13"/>
        <v>2.1843455237464893E-2</v>
      </c>
      <c r="K104" s="1"/>
      <c r="L104" s="1"/>
      <c r="M104" s="1"/>
      <c r="O104" s="5" t="s">
        <v>7</v>
      </c>
      <c r="P104" s="6">
        <v>488.72</v>
      </c>
      <c r="Q104" s="22">
        <f t="shared" si="14"/>
        <v>-1.3802566793122861E-2</v>
      </c>
      <c r="R104" s="1"/>
      <c r="S104" s="1"/>
      <c r="U104" s="2"/>
      <c r="V104">
        <f t="shared" si="10"/>
        <v>3.0986310003151551E-3</v>
      </c>
      <c r="W104">
        <f t="shared" si="11"/>
        <v>3.9655913978494661E-2</v>
      </c>
      <c r="X104">
        <f t="shared" si="12"/>
        <v>1.2122191692258699E-3</v>
      </c>
    </row>
    <row r="105" spans="1:24" x14ac:dyDescent="0.2">
      <c r="A105" s="5" t="s">
        <v>8</v>
      </c>
      <c r="B105" s="1">
        <v>572.99</v>
      </c>
      <c r="C105" s="20">
        <f t="shared" si="9"/>
        <v>3.0986310003151551E-3</v>
      </c>
      <c r="D105" s="1"/>
      <c r="E105" s="1"/>
      <c r="F105" s="1"/>
      <c r="H105" s="5" t="s">
        <v>8</v>
      </c>
      <c r="I105" s="6">
        <v>120.86</v>
      </c>
      <c r="J105" s="22">
        <f t="shared" si="13"/>
        <v>3.9655913978494661E-2</v>
      </c>
      <c r="K105" s="1"/>
      <c r="L105" s="1"/>
      <c r="M105" s="1"/>
      <c r="O105" s="5" t="s">
        <v>8</v>
      </c>
      <c r="P105" s="6">
        <v>495.56</v>
      </c>
      <c r="Q105" s="22">
        <f t="shared" si="14"/>
        <v>1.2122191692258699E-3</v>
      </c>
      <c r="R105" s="1"/>
      <c r="S105" s="1"/>
      <c r="U105" s="2"/>
      <c r="V105">
        <f t="shared" si="10"/>
        <v>-2.7583798882679922E-3</v>
      </c>
      <c r="W105">
        <f t="shared" si="11"/>
        <v>2.2415725493576399E-3</v>
      </c>
      <c r="X105">
        <f t="shared" si="12"/>
        <v>-2.036413492751632E-3</v>
      </c>
    </row>
    <row r="106" spans="1:24" x14ac:dyDescent="0.2">
      <c r="A106" s="5" t="s">
        <v>9</v>
      </c>
      <c r="B106" s="1">
        <v>571.22</v>
      </c>
      <c r="C106" s="20">
        <f t="shared" si="9"/>
        <v>-2.7583798882679922E-3</v>
      </c>
      <c r="D106" s="1"/>
      <c r="E106" s="1"/>
      <c r="F106" s="1"/>
      <c r="H106" s="5" t="s">
        <v>9</v>
      </c>
      <c r="I106" s="6">
        <v>116.25</v>
      </c>
      <c r="J106" s="22">
        <f t="shared" si="13"/>
        <v>2.2415725493576399E-3</v>
      </c>
      <c r="K106" s="1"/>
      <c r="L106" s="1"/>
      <c r="M106" s="1"/>
      <c r="O106" s="5" t="s">
        <v>9</v>
      </c>
      <c r="P106" s="6">
        <v>494.96</v>
      </c>
      <c r="Q106" s="22">
        <f t="shared" si="14"/>
        <v>-2.036413492751632E-3</v>
      </c>
      <c r="R106" s="1"/>
      <c r="S106" s="1"/>
      <c r="U106" s="2"/>
      <c r="V106">
        <f t="shared" si="10"/>
        <v>-3.6008140971003355E-3</v>
      </c>
      <c r="W106">
        <f t="shared" si="11"/>
        <v>-1.5866282029526557E-2</v>
      </c>
      <c r="X106">
        <f t="shared" si="12"/>
        <v>-1.0731026229181206E-2</v>
      </c>
    </row>
    <row r="107" spans="1:24" x14ac:dyDescent="0.2">
      <c r="A107" s="5" t="s">
        <v>10</v>
      </c>
      <c r="B107" s="1">
        <v>572.79999999999995</v>
      </c>
      <c r="C107" s="20">
        <f t="shared" si="9"/>
        <v>-3.6008140971003355E-3</v>
      </c>
      <c r="D107" s="1"/>
      <c r="E107" s="1"/>
      <c r="F107" s="1"/>
      <c r="H107" s="5" t="s">
        <v>10</v>
      </c>
      <c r="I107" s="6">
        <v>115.99</v>
      </c>
      <c r="J107" s="22">
        <f t="shared" si="13"/>
        <v>-1.5866282029526557E-2</v>
      </c>
      <c r="K107" s="1"/>
      <c r="L107" s="1"/>
      <c r="M107" s="1"/>
      <c r="O107" s="5" t="s">
        <v>10</v>
      </c>
      <c r="P107" s="6">
        <v>495.97</v>
      </c>
      <c r="Q107" s="22">
        <f t="shared" si="14"/>
        <v>-1.0731026229181206E-2</v>
      </c>
      <c r="R107" s="1"/>
      <c r="S107" s="1"/>
      <c r="U107" s="2"/>
      <c r="V107">
        <f t="shared" si="10"/>
        <v>-6.1545908753002365E-3</v>
      </c>
      <c r="W107">
        <f t="shared" si="11"/>
        <v>3.9696541990120071E-2</v>
      </c>
      <c r="X107">
        <f t="shared" si="12"/>
        <v>3.973537402268823E-2</v>
      </c>
    </row>
    <row r="108" spans="1:24" x14ac:dyDescent="0.2">
      <c r="A108" s="5" t="s">
        <v>11</v>
      </c>
      <c r="B108" s="1">
        <v>574.87</v>
      </c>
      <c r="C108" s="20">
        <f t="shared" si="9"/>
        <v>-6.1545908753002365E-3</v>
      </c>
      <c r="D108" s="1"/>
      <c r="E108" s="1"/>
      <c r="F108" s="1"/>
      <c r="H108" s="5" t="s">
        <v>11</v>
      </c>
      <c r="I108" s="6">
        <v>117.86</v>
      </c>
      <c r="J108" s="22">
        <f t="shared" si="13"/>
        <v>3.9696541990120071E-2</v>
      </c>
      <c r="K108" s="1"/>
      <c r="L108" s="1"/>
      <c r="M108" s="1"/>
      <c r="O108" s="5" t="s">
        <v>11</v>
      </c>
      <c r="P108" s="6">
        <v>501.35</v>
      </c>
      <c r="Q108" s="22">
        <f t="shared" si="14"/>
        <v>3.973537402268823E-2</v>
      </c>
      <c r="R108" s="1"/>
      <c r="S108" s="1"/>
      <c r="U108" s="2"/>
      <c r="V108">
        <f t="shared" si="10"/>
        <v>4.6547980894484642E-3</v>
      </c>
      <c r="W108">
        <f t="shared" si="11"/>
        <v>-1.9207475341754598E-2</v>
      </c>
      <c r="X108">
        <f t="shared" si="12"/>
        <v>-1.6770186335404169E-3</v>
      </c>
    </row>
    <row r="109" spans="1:24" x14ac:dyDescent="0.2">
      <c r="A109" s="5" t="s">
        <v>12</v>
      </c>
      <c r="B109" s="1">
        <v>578.42999999999995</v>
      </c>
      <c r="C109" s="20">
        <f t="shared" si="9"/>
        <v>4.6547980894484642E-3</v>
      </c>
      <c r="D109" s="1"/>
      <c r="E109" s="1"/>
      <c r="F109" s="1"/>
      <c r="H109" s="5" t="s">
        <v>12</v>
      </c>
      <c r="I109" s="6">
        <v>113.36</v>
      </c>
      <c r="J109" s="22">
        <f t="shared" si="13"/>
        <v>-1.9207475341754598E-2</v>
      </c>
      <c r="K109" s="1"/>
      <c r="L109" s="1"/>
      <c r="M109" s="1"/>
      <c r="O109" s="5" t="s">
        <v>12</v>
      </c>
      <c r="P109" s="6">
        <v>482.19</v>
      </c>
      <c r="Q109" s="22">
        <f t="shared" si="14"/>
        <v>-1.6770186335404169E-3</v>
      </c>
      <c r="R109" s="1"/>
      <c r="S109" s="1"/>
      <c r="U109" s="2"/>
      <c r="V109">
        <f t="shared" si="10"/>
        <v>-1.8981410485780947E-2</v>
      </c>
      <c r="W109">
        <f t="shared" si="11"/>
        <v>-1.0190973709000573E-2</v>
      </c>
      <c r="X109">
        <f t="shared" si="12"/>
        <v>4.7641734159120652E-4</v>
      </c>
    </row>
    <row r="110" spans="1:24" x14ac:dyDescent="0.2">
      <c r="A110" s="5" t="s">
        <v>13</v>
      </c>
      <c r="B110" s="1">
        <v>575.75</v>
      </c>
      <c r="C110" s="20">
        <f t="shared" si="9"/>
        <v>-1.8981410485780947E-2</v>
      </c>
      <c r="D110" s="1"/>
      <c r="E110" s="1"/>
      <c r="F110" s="1"/>
      <c r="H110" s="5" t="s">
        <v>13</v>
      </c>
      <c r="I110" s="6">
        <v>115.58</v>
      </c>
      <c r="J110" s="22">
        <f t="shared" si="13"/>
        <v>-1.0190973709000573E-2</v>
      </c>
      <c r="K110" s="1"/>
      <c r="L110" s="1"/>
      <c r="M110" s="1"/>
      <c r="O110" s="5" t="s">
        <v>13</v>
      </c>
      <c r="P110" s="6">
        <v>483</v>
      </c>
      <c r="Q110" s="22">
        <f t="shared" si="14"/>
        <v>4.7641734159120652E-4</v>
      </c>
      <c r="R110" s="1"/>
      <c r="S110" s="1"/>
      <c r="U110" s="2"/>
      <c r="V110">
        <f t="shared" si="10"/>
        <v>-5.2037426266188236E-3</v>
      </c>
      <c r="W110">
        <f t="shared" si="11"/>
        <v>-1.9481064740952236E-2</v>
      </c>
      <c r="X110">
        <f t="shared" si="12"/>
        <v>1.2882109812642817E-2</v>
      </c>
    </row>
    <row r="111" spans="1:24" x14ac:dyDescent="0.2">
      <c r="A111" s="5" t="s">
        <v>14</v>
      </c>
      <c r="B111" s="1">
        <v>586.89</v>
      </c>
      <c r="C111" s="20">
        <f t="shared" si="9"/>
        <v>-5.2037426266188236E-3</v>
      </c>
      <c r="D111" s="1"/>
      <c r="E111" s="1"/>
      <c r="F111" s="1"/>
      <c r="H111" s="5" t="s">
        <v>14</v>
      </c>
      <c r="I111" s="6">
        <v>116.77</v>
      </c>
      <c r="J111" s="22">
        <f t="shared" si="13"/>
        <v>-1.9481064740952236E-2</v>
      </c>
      <c r="K111" s="1"/>
      <c r="L111" s="1"/>
      <c r="M111" s="1"/>
      <c r="O111" s="5" t="s">
        <v>14</v>
      </c>
      <c r="P111" s="6">
        <v>482.77</v>
      </c>
      <c r="Q111" s="22">
        <f t="shared" si="14"/>
        <v>1.2882109812642817E-2</v>
      </c>
      <c r="R111" s="1"/>
      <c r="S111" s="1"/>
      <c r="U111" s="2"/>
      <c r="V111">
        <f t="shared" si="10"/>
        <v>1.0032528676596542E-2</v>
      </c>
      <c r="W111">
        <f t="shared" si="11"/>
        <v>-3.3576764878695542E-4</v>
      </c>
      <c r="X111">
        <f t="shared" si="12"/>
        <v>1.0408717035529591E-2</v>
      </c>
    </row>
    <row r="112" spans="1:24" x14ac:dyDescent="0.2">
      <c r="A112" s="5" t="s">
        <v>15</v>
      </c>
      <c r="B112" s="1">
        <v>589.96</v>
      </c>
      <c r="C112" s="20">
        <f t="shared" si="9"/>
        <v>1.0032528676596542E-2</v>
      </c>
      <c r="D112" s="1"/>
      <c r="E112" s="1"/>
      <c r="F112" s="1"/>
      <c r="H112" s="5" t="s">
        <v>15</v>
      </c>
      <c r="I112" s="6">
        <v>119.09</v>
      </c>
      <c r="J112" s="22">
        <f t="shared" si="13"/>
        <v>-3.3576764878695542E-4</v>
      </c>
      <c r="K112" s="1"/>
      <c r="L112" s="1"/>
      <c r="M112" s="1"/>
      <c r="O112" s="5" t="s">
        <v>15</v>
      </c>
      <c r="P112" s="6">
        <v>476.63</v>
      </c>
      <c r="Q112" s="22">
        <f t="shared" si="14"/>
        <v>1.0408717035529591E-2</v>
      </c>
      <c r="R112" s="1"/>
      <c r="S112" s="1"/>
      <c r="U112" s="2"/>
      <c r="V112">
        <f t="shared" si="10"/>
        <v>-2.2547914317924134E-3</v>
      </c>
      <c r="W112">
        <f t="shared" si="11"/>
        <v>1.9163315938061309E-2</v>
      </c>
      <c r="X112">
        <f t="shared" si="12"/>
        <v>6.1213607763677125E-3</v>
      </c>
    </row>
    <row r="113" spans="1:24" x14ac:dyDescent="0.2">
      <c r="A113" s="5" t="s">
        <v>16</v>
      </c>
      <c r="B113" s="1">
        <v>584.1</v>
      </c>
      <c r="C113" s="20">
        <f t="shared" si="9"/>
        <v>-2.2547914317924134E-3</v>
      </c>
      <c r="D113" s="1"/>
      <c r="E113" s="1"/>
      <c r="F113" s="1"/>
      <c r="H113" s="5" t="s">
        <v>16</v>
      </c>
      <c r="I113" s="6">
        <v>119.13</v>
      </c>
      <c r="J113" s="22">
        <f t="shared" si="13"/>
        <v>1.9163315938061309E-2</v>
      </c>
      <c r="K113" s="1"/>
      <c r="L113" s="1"/>
      <c r="M113" s="1"/>
      <c r="O113" s="5" t="s">
        <v>16</v>
      </c>
      <c r="P113" s="6">
        <v>471.72</v>
      </c>
      <c r="Q113" s="22">
        <f t="shared" si="14"/>
        <v>6.1213607763677125E-3</v>
      </c>
      <c r="R113" s="1"/>
      <c r="S113" s="1"/>
      <c r="U113" s="2"/>
      <c r="V113">
        <f t="shared" si="10"/>
        <v>-1.5488623177438154E-2</v>
      </c>
      <c r="W113">
        <f t="shared" si="11"/>
        <v>8.1513693560325784E-2</v>
      </c>
      <c r="X113">
        <f t="shared" si="12"/>
        <v>8.6483230428329172E-3</v>
      </c>
    </row>
    <row r="114" spans="1:24" x14ac:dyDescent="0.2">
      <c r="A114" s="5" t="s">
        <v>17</v>
      </c>
      <c r="B114" s="1">
        <v>585.41999999999996</v>
      </c>
      <c r="C114" s="20">
        <f t="shared" si="9"/>
        <v>-1.5488623177438154E-2</v>
      </c>
      <c r="D114" s="1"/>
      <c r="E114" s="1"/>
      <c r="F114" s="1"/>
      <c r="H114" s="5" t="s">
        <v>17</v>
      </c>
      <c r="I114" s="6">
        <v>116.89</v>
      </c>
      <c r="J114" s="22">
        <f t="shared" si="13"/>
        <v>8.1513693560325784E-2</v>
      </c>
      <c r="K114" s="1"/>
      <c r="L114" s="1"/>
      <c r="M114" s="1"/>
      <c r="O114" s="5" t="s">
        <v>17</v>
      </c>
      <c r="P114" s="6">
        <v>468.85</v>
      </c>
      <c r="Q114" s="22">
        <f t="shared" si="14"/>
        <v>8.6483230428329172E-3</v>
      </c>
      <c r="R114" s="1"/>
      <c r="S114" s="1"/>
      <c r="U114" s="2"/>
      <c r="V114">
        <f t="shared" si="10"/>
        <v>8.2917896021974524E-3</v>
      </c>
      <c r="W114">
        <f t="shared" si="11"/>
        <v>1.531235321747304E-2</v>
      </c>
      <c r="X114">
        <f t="shared" si="12"/>
        <v>-4.3874444627283293E-2</v>
      </c>
    </row>
    <row r="115" spans="1:24" x14ac:dyDescent="0.2">
      <c r="A115" s="5" t="s">
        <v>18</v>
      </c>
      <c r="B115" s="1">
        <v>594.63</v>
      </c>
      <c r="C115" s="20">
        <f t="shared" si="9"/>
        <v>8.2917896021974524E-3</v>
      </c>
      <c r="D115" s="1"/>
      <c r="E115" s="1"/>
      <c r="F115" s="1"/>
      <c r="H115" s="5" t="s">
        <v>18</v>
      </c>
      <c r="I115" s="6">
        <v>108.08</v>
      </c>
      <c r="J115" s="22">
        <f t="shared" si="13"/>
        <v>1.531235321747304E-2</v>
      </c>
      <c r="K115" s="1"/>
      <c r="L115" s="1"/>
      <c r="M115" s="1"/>
      <c r="O115" s="5" t="s">
        <v>18</v>
      </c>
      <c r="P115" s="6">
        <v>464.83</v>
      </c>
      <c r="Q115" s="22">
        <f t="shared" si="14"/>
        <v>-4.3874444627283293E-2</v>
      </c>
      <c r="R115" s="1"/>
      <c r="S115" s="1"/>
      <c r="U115" s="2"/>
      <c r="V115">
        <f t="shared" si="10"/>
        <v>-4.6582278481012152E-3</v>
      </c>
      <c r="W115">
        <f t="shared" si="11"/>
        <v>3.5405116233829359E-2</v>
      </c>
      <c r="X115">
        <f t="shared" si="12"/>
        <v>1.8669460450497777E-2</v>
      </c>
    </row>
    <row r="116" spans="1:24" x14ac:dyDescent="0.2">
      <c r="A116" s="5" t="s">
        <v>19</v>
      </c>
      <c r="B116" s="1">
        <v>589.74</v>
      </c>
      <c r="C116" s="20">
        <f t="shared" si="9"/>
        <v>-4.6582278481012152E-3</v>
      </c>
      <c r="D116" s="1"/>
      <c r="E116" s="1"/>
      <c r="F116" s="1"/>
      <c r="H116" s="5" t="s">
        <v>19</v>
      </c>
      <c r="I116" s="6">
        <v>106.45</v>
      </c>
      <c r="J116" s="22">
        <f t="shared" si="13"/>
        <v>3.5405116233829359E-2</v>
      </c>
      <c r="K116" s="1"/>
      <c r="L116" s="1"/>
      <c r="M116" s="1"/>
      <c r="O116" s="5" t="s">
        <v>19</v>
      </c>
      <c r="P116" s="6">
        <v>486.16</v>
      </c>
      <c r="Q116" s="22">
        <f t="shared" si="14"/>
        <v>1.8669460450497777E-2</v>
      </c>
      <c r="R116" s="1"/>
      <c r="S116" s="1"/>
      <c r="U116" s="2"/>
      <c r="V116">
        <f t="shared" si="10"/>
        <v>2.3345513601298329E-3</v>
      </c>
      <c r="W116">
        <f t="shared" si="11"/>
        <v>-4.0862020710887181E-2</v>
      </c>
      <c r="X116">
        <f t="shared" si="12"/>
        <v>-1.6932045234515081E-2</v>
      </c>
    </row>
    <row r="117" spans="1:24" x14ac:dyDescent="0.2">
      <c r="A117" s="5" t="s">
        <v>20</v>
      </c>
      <c r="B117" s="1">
        <v>592.5</v>
      </c>
      <c r="C117" s="20">
        <f t="shared" si="9"/>
        <v>2.3345513601298329E-3</v>
      </c>
      <c r="D117" s="1"/>
      <c r="E117" s="1"/>
      <c r="F117" s="1"/>
      <c r="H117" s="5" t="s">
        <v>20</v>
      </c>
      <c r="I117" s="6">
        <v>102.81</v>
      </c>
      <c r="J117" s="22">
        <f t="shared" si="13"/>
        <v>-4.0862020710887181E-2</v>
      </c>
      <c r="K117" s="1"/>
      <c r="L117" s="1"/>
      <c r="M117" s="1"/>
      <c r="O117" s="5" t="s">
        <v>20</v>
      </c>
      <c r="P117" s="6">
        <v>477.25</v>
      </c>
      <c r="Q117" s="22">
        <f t="shared" si="14"/>
        <v>-1.6932045234515081E-2</v>
      </c>
      <c r="R117" s="1"/>
      <c r="S117" s="1"/>
      <c r="U117" s="2"/>
      <c r="V117">
        <f t="shared" si="10"/>
        <v>-1.4372894921132473E-2</v>
      </c>
      <c r="W117">
        <f t="shared" si="11"/>
        <v>9.4170825878143738E-3</v>
      </c>
      <c r="X117">
        <f t="shared" si="12"/>
        <v>-5.6327065667117759E-3</v>
      </c>
    </row>
    <row r="118" spans="1:24" x14ac:dyDescent="0.2">
      <c r="A118" s="5" t="s">
        <v>21</v>
      </c>
      <c r="B118" s="1">
        <v>591.12</v>
      </c>
      <c r="C118" s="20">
        <f t="shared" si="9"/>
        <v>-1.4372894921132473E-2</v>
      </c>
      <c r="D118" s="1"/>
      <c r="E118" s="1"/>
      <c r="F118" s="1"/>
      <c r="H118" s="5" t="s">
        <v>21</v>
      </c>
      <c r="I118" s="6">
        <v>107.19</v>
      </c>
      <c r="J118" s="22">
        <f t="shared" si="13"/>
        <v>9.4170825878143738E-3</v>
      </c>
      <c r="K118" s="1"/>
      <c r="L118" s="1"/>
      <c r="M118" s="1"/>
      <c r="O118" s="5" t="s">
        <v>21</v>
      </c>
      <c r="P118" s="6">
        <v>485.47</v>
      </c>
      <c r="Q118" s="22">
        <f t="shared" si="14"/>
        <v>-5.6327065667117759E-3</v>
      </c>
      <c r="R118" s="1"/>
      <c r="S118" s="1"/>
      <c r="U118" s="2"/>
      <c r="V118">
        <f t="shared" si="10"/>
        <v>9.1706069427384129E-3</v>
      </c>
      <c r="W118">
        <f t="shared" si="11"/>
        <v>-1.6577143915539994E-2</v>
      </c>
      <c r="X118">
        <f t="shared" si="12"/>
        <v>6.514657980456029E-3</v>
      </c>
    </row>
    <row r="119" spans="1:24" x14ac:dyDescent="0.2">
      <c r="A119" s="5" t="s">
        <v>22</v>
      </c>
      <c r="B119" s="1">
        <v>599.74</v>
      </c>
      <c r="C119" s="20">
        <f t="shared" si="9"/>
        <v>9.1706069427384129E-3</v>
      </c>
      <c r="D119" s="1"/>
      <c r="E119" s="1"/>
      <c r="F119" s="1"/>
      <c r="H119" s="5" t="s">
        <v>22</v>
      </c>
      <c r="I119" s="6">
        <v>106.19</v>
      </c>
      <c r="J119" s="22">
        <f t="shared" si="13"/>
        <v>-1.6577143915539994E-2</v>
      </c>
      <c r="K119" s="1"/>
      <c r="L119" s="1"/>
      <c r="M119" s="1"/>
      <c r="O119" s="5" t="s">
        <v>22</v>
      </c>
      <c r="P119" s="6">
        <v>488.22</v>
      </c>
      <c r="Q119" s="22">
        <f t="shared" si="14"/>
        <v>6.514657980456029E-3</v>
      </c>
      <c r="R119" s="1"/>
      <c r="S119" s="1"/>
      <c r="U119" s="2"/>
      <c r="V119">
        <f t="shared" si="10"/>
        <v>1.4371788963421839E-2</v>
      </c>
      <c r="W119">
        <f t="shared" si="11"/>
        <v>-9.5266024298282237E-2</v>
      </c>
      <c r="X119">
        <f t="shared" si="12"/>
        <v>-4.4649715399917356E-2</v>
      </c>
    </row>
    <row r="120" spans="1:24" x14ac:dyDescent="0.2">
      <c r="A120" s="5" t="s">
        <v>23</v>
      </c>
      <c r="B120" s="1">
        <v>594.29</v>
      </c>
      <c r="C120" s="20">
        <f t="shared" si="9"/>
        <v>1.4371788963421839E-2</v>
      </c>
      <c r="D120" s="1"/>
      <c r="E120" s="1"/>
      <c r="F120" s="1"/>
      <c r="H120" s="5" t="s">
        <v>23</v>
      </c>
      <c r="I120" s="6">
        <v>107.98</v>
      </c>
      <c r="J120" s="22">
        <f t="shared" si="13"/>
        <v>-9.5266024298282237E-2</v>
      </c>
      <c r="K120" s="1"/>
      <c r="L120" s="1"/>
      <c r="M120" s="1"/>
      <c r="O120" s="5" t="s">
        <v>23</v>
      </c>
      <c r="P120" s="6">
        <v>485.06</v>
      </c>
      <c r="Q120" s="22">
        <f t="shared" si="14"/>
        <v>-4.4649715399917356E-2</v>
      </c>
      <c r="R120" s="1"/>
      <c r="S120" s="1"/>
      <c r="U120" s="2"/>
      <c r="V120">
        <f t="shared" si="10"/>
        <v>-2.3159579721744317E-3</v>
      </c>
      <c r="W120">
        <f t="shared" si="11"/>
        <v>1.5139916645402707E-2</v>
      </c>
      <c r="X120">
        <f t="shared" si="12"/>
        <v>6.2029330162505225E-3</v>
      </c>
    </row>
    <row r="121" spans="1:24" x14ac:dyDescent="0.2">
      <c r="A121" s="5" t="s">
        <v>24</v>
      </c>
      <c r="B121" s="1">
        <v>585.87</v>
      </c>
      <c r="C121" s="20">
        <f t="shared" si="9"/>
        <v>-2.3159579721744317E-3</v>
      </c>
      <c r="D121" s="1"/>
      <c r="E121" s="1"/>
      <c r="F121" s="1"/>
      <c r="H121" s="5" t="s">
        <v>24</v>
      </c>
      <c r="I121" s="6">
        <v>119.35</v>
      </c>
      <c r="J121" s="22">
        <f t="shared" si="13"/>
        <v>1.5139916645402707E-2</v>
      </c>
      <c r="K121" s="1"/>
      <c r="L121" s="1"/>
      <c r="M121" s="1"/>
      <c r="O121" s="5" t="s">
        <v>24</v>
      </c>
      <c r="P121" s="6">
        <v>507.73</v>
      </c>
      <c r="Q121" s="22">
        <f t="shared" si="14"/>
        <v>6.2029330162505225E-3</v>
      </c>
      <c r="R121" s="1"/>
      <c r="S121" s="1"/>
      <c r="U121" s="2"/>
      <c r="V121">
        <f t="shared" si="10"/>
        <v>5.1521687035704922E-3</v>
      </c>
      <c r="W121">
        <f t="shared" si="11"/>
        <v>-6.3858587467155115E-2</v>
      </c>
      <c r="X121">
        <f t="shared" si="12"/>
        <v>1.3456517372966603E-2</v>
      </c>
    </row>
    <row r="122" spans="1:24" x14ac:dyDescent="0.2">
      <c r="A122" s="5" t="s">
        <v>25</v>
      </c>
      <c r="B122" s="1">
        <v>587.23</v>
      </c>
      <c r="C122" s="20">
        <f t="shared" si="9"/>
        <v>5.1521687035704922E-3</v>
      </c>
      <c r="D122" s="1"/>
      <c r="E122" s="1"/>
      <c r="F122" s="1"/>
      <c r="H122" s="5" t="s">
        <v>25</v>
      </c>
      <c r="I122" s="6">
        <v>117.57</v>
      </c>
      <c r="J122" s="22">
        <f t="shared" si="13"/>
        <v>-6.3858587467155115E-2</v>
      </c>
      <c r="K122" s="1"/>
      <c r="L122" s="1"/>
      <c r="M122" s="1"/>
      <c r="O122" s="5" t="s">
        <v>25</v>
      </c>
      <c r="P122" s="6">
        <v>504.6</v>
      </c>
      <c r="Q122" s="22">
        <f t="shared" si="14"/>
        <v>1.3456517372966603E-2</v>
      </c>
      <c r="R122" s="1"/>
      <c r="S122" s="1"/>
      <c r="U122" s="2"/>
      <c r="V122">
        <f t="shared" si="10"/>
        <v>2.0238748627883218E-3</v>
      </c>
      <c r="W122">
        <f t="shared" si="11"/>
        <v>-2.0969753663860335E-2</v>
      </c>
      <c r="X122">
        <f t="shared" si="12"/>
        <v>-7.7522469558979346E-3</v>
      </c>
    </row>
    <row r="123" spans="1:24" x14ac:dyDescent="0.2">
      <c r="A123" s="5" t="s">
        <v>26</v>
      </c>
      <c r="B123" s="1">
        <v>584.22</v>
      </c>
      <c r="C123" s="20">
        <f t="shared" si="9"/>
        <v>2.0238748627883218E-3</v>
      </c>
      <c r="D123" s="1"/>
      <c r="E123" s="1"/>
      <c r="F123" s="1"/>
      <c r="H123" s="5" t="s">
        <v>26</v>
      </c>
      <c r="I123" s="6">
        <v>125.59</v>
      </c>
      <c r="J123" s="22">
        <f t="shared" si="13"/>
        <v>-2.0969753663860335E-2</v>
      </c>
      <c r="K123" s="1"/>
      <c r="L123" s="1"/>
      <c r="M123" s="1"/>
      <c r="O123" s="5" t="s">
        <v>26</v>
      </c>
      <c r="P123" s="6">
        <v>497.9</v>
      </c>
      <c r="Q123" s="22">
        <f t="shared" si="14"/>
        <v>-7.7522469558979346E-3</v>
      </c>
      <c r="R123" s="1"/>
      <c r="S123" s="1"/>
      <c r="U123" s="2"/>
      <c r="V123">
        <f t="shared" si="10"/>
        <v>3.7747503517371328E-4</v>
      </c>
      <c r="W123">
        <f t="shared" si="11"/>
        <v>1.4552356849098391E-2</v>
      </c>
      <c r="X123">
        <f t="shared" si="12"/>
        <v>-1.1942912876450329E-3</v>
      </c>
    </row>
    <row r="124" spans="1:24" x14ac:dyDescent="0.2">
      <c r="A124" s="5" t="s">
        <v>27</v>
      </c>
      <c r="B124" s="1">
        <v>583.04</v>
      </c>
      <c r="C124" s="20">
        <f t="shared" si="9"/>
        <v>3.7747503517371328E-4</v>
      </c>
      <c r="D124" s="1"/>
      <c r="E124" s="1"/>
      <c r="F124" s="1"/>
      <c r="H124" s="5" t="s">
        <v>27</v>
      </c>
      <c r="I124" s="6">
        <v>128.28</v>
      </c>
      <c r="J124" s="22">
        <f t="shared" si="13"/>
        <v>1.4552356849098391E-2</v>
      </c>
      <c r="K124" s="1"/>
      <c r="L124" s="1"/>
      <c r="M124" s="1"/>
      <c r="O124" s="5" t="s">
        <v>27</v>
      </c>
      <c r="P124" s="6">
        <v>501.79</v>
      </c>
      <c r="Q124" s="22">
        <f t="shared" si="14"/>
        <v>-1.1942912876450329E-3</v>
      </c>
      <c r="R124" s="1"/>
      <c r="S124" s="1"/>
      <c r="U124" s="2"/>
      <c r="V124">
        <f t="shared" si="10"/>
        <v>4.4810589086898833E-3</v>
      </c>
      <c r="W124">
        <f t="shared" si="11"/>
        <v>-2.2497100889060651E-2</v>
      </c>
      <c r="X124">
        <f t="shared" si="12"/>
        <v>-3.0559799972218471E-3</v>
      </c>
    </row>
    <row r="125" spans="1:24" x14ac:dyDescent="0.2">
      <c r="A125" s="5" t="s">
        <v>28</v>
      </c>
      <c r="B125" s="1">
        <v>582.82000000000005</v>
      </c>
      <c r="C125" s="20">
        <f t="shared" si="9"/>
        <v>4.4810589086898833E-3</v>
      </c>
      <c r="D125" s="1"/>
      <c r="E125" s="1"/>
      <c r="F125" s="1"/>
      <c r="H125" s="5" t="s">
        <v>28</v>
      </c>
      <c r="I125" s="6">
        <v>126.44</v>
      </c>
      <c r="J125" s="22">
        <f t="shared" si="13"/>
        <v>-2.2497100889060651E-2</v>
      </c>
      <c r="K125" s="1"/>
      <c r="L125" s="1"/>
      <c r="M125" s="1"/>
      <c r="O125" s="5" t="s">
        <v>28</v>
      </c>
      <c r="P125" s="6">
        <v>502.39</v>
      </c>
      <c r="Q125" s="22">
        <f t="shared" si="14"/>
        <v>-3.0559799972218471E-3</v>
      </c>
      <c r="R125" s="1"/>
      <c r="S125" s="1"/>
      <c r="U125" s="2"/>
      <c r="V125">
        <f t="shared" si="10"/>
        <v>1.0009225895172946E-2</v>
      </c>
      <c r="W125">
        <f t="shared" si="11"/>
        <v>4.5505981247979221E-2</v>
      </c>
      <c r="X125">
        <f t="shared" si="12"/>
        <v>2.3457492180835926E-2</v>
      </c>
    </row>
    <row r="126" spans="1:24" x14ac:dyDescent="0.2">
      <c r="A126" s="5" t="s">
        <v>29</v>
      </c>
      <c r="B126" s="1">
        <v>580.22</v>
      </c>
      <c r="C126" s="20">
        <f t="shared" si="9"/>
        <v>1.0009225895172946E-2</v>
      </c>
      <c r="D126" s="1"/>
      <c r="E126" s="1"/>
      <c r="F126" s="1"/>
      <c r="H126" s="5" t="s">
        <v>29</v>
      </c>
      <c r="I126" s="6">
        <v>129.35</v>
      </c>
      <c r="J126" s="22">
        <f t="shared" si="13"/>
        <v>4.5505981247979221E-2</v>
      </c>
      <c r="K126" s="1"/>
      <c r="L126" s="1"/>
      <c r="M126" s="1"/>
      <c r="O126" s="5" t="s">
        <v>29</v>
      </c>
      <c r="P126" s="6">
        <v>503.93</v>
      </c>
      <c r="Q126" s="22">
        <f t="shared" si="14"/>
        <v>2.3457492180835926E-2</v>
      </c>
      <c r="R126" s="1"/>
      <c r="S126" s="1"/>
      <c r="U126" s="2"/>
      <c r="V126">
        <f t="shared" si="10"/>
        <v>1.1153128975480708E-3</v>
      </c>
      <c r="W126">
        <f t="shared" si="11"/>
        <v>-3.7048567870485605E-2</v>
      </c>
      <c r="X126">
        <f t="shared" si="12"/>
        <v>2.5859787013091662E-3</v>
      </c>
    </row>
    <row r="127" spans="1:24" x14ac:dyDescent="0.2">
      <c r="A127" s="5" t="s">
        <v>30</v>
      </c>
      <c r="B127" s="1">
        <v>574.47</v>
      </c>
      <c r="C127" s="20">
        <f t="shared" si="9"/>
        <v>1.1153128975480708E-3</v>
      </c>
      <c r="D127" s="1"/>
      <c r="E127" s="1"/>
      <c r="F127" s="1"/>
      <c r="H127" s="5" t="s">
        <v>30</v>
      </c>
      <c r="I127" s="6">
        <v>123.72</v>
      </c>
      <c r="J127" s="22">
        <f t="shared" si="13"/>
        <v>-3.7048567870485605E-2</v>
      </c>
      <c r="K127" s="1"/>
      <c r="L127" s="1"/>
      <c r="M127" s="1"/>
      <c r="O127" s="5" t="s">
        <v>30</v>
      </c>
      <c r="P127" s="6">
        <v>492.38</v>
      </c>
      <c r="Q127" s="22">
        <f t="shared" si="14"/>
        <v>2.5859787013091662E-3</v>
      </c>
      <c r="R127" s="1"/>
      <c r="S127" s="1"/>
      <c r="U127" s="2"/>
      <c r="V127">
        <f t="shared" si="10"/>
        <v>-4.441437221325728E-3</v>
      </c>
      <c r="W127">
        <f t="shared" si="11"/>
        <v>9.8247268725928372E-3</v>
      </c>
      <c r="X127">
        <f t="shared" si="12"/>
        <v>-1.7683645676653814E-3</v>
      </c>
    </row>
    <row r="128" spans="1:24" x14ac:dyDescent="0.2">
      <c r="A128" s="5" t="s">
        <v>31</v>
      </c>
      <c r="B128" s="1">
        <v>573.83000000000004</v>
      </c>
      <c r="C128" s="20">
        <f>(B128/B129)-1</f>
        <v>-4.441437221325728E-3</v>
      </c>
      <c r="D128" s="1"/>
      <c r="E128" s="1"/>
      <c r="F128" s="1"/>
      <c r="H128" s="5" t="s">
        <v>31</v>
      </c>
      <c r="I128" s="6">
        <v>128.47999999999999</v>
      </c>
      <c r="J128" s="22">
        <f t="shared" si="13"/>
        <v>9.8247268725928372E-3</v>
      </c>
      <c r="K128" s="1"/>
      <c r="L128" s="1"/>
      <c r="M128" s="1"/>
      <c r="O128" s="5" t="s">
        <v>31</v>
      </c>
      <c r="P128" s="6">
        <v>491.11</v>
      </c>
      <c r="Q128" s="22">
        <f t="shared" si="14"/>
        <v>-1.7683645676653814E-3</v>
      </c>
      <c r="R128" s="1"/>
      <c r="S128" s="1"/>
      <c r="U128" s="2"/>
    </row>
    <row r="129" spans="1:24" ht="17" thickBot="1" x14ac:dyDescent="0.25">
      <c r="A129" s="7" t="s">
        <v>32</v>
      </c>
      <c r="B129" s="18">
        <v>576.39</v>
      </c>
      <c r="C129" s="21"/>
      <c r="H129" s="7" t="s">
        <v>32</v>
      </c>
      <c r="I129" s="8">
        <v>127.23</v>
      </c>
      <c r="J129" s="21"/>
      <c r="O129" s="7" t="s">
        <v>32</v>
      </c>
      <c r="P129" s="8">
        <v>491.98</v>
      </c>
      <c r="Q129" s="21"/>
      <c r="U129" t="s">
        <v>146</v>
      </c>
      <c r="V129">
        <f>AVERAGE(V3:V127)</f>
        <v>-9.1523305484344066E-4</v>
      </c>
      <c r="W129">
        <f t="shared" ref="W129:X129" si="15">AVERAGE(W3:W127)</f>
        <v>1.3107989336754668E-3</v>
      </c>
      <c r="X129">
        <f t="shared" si="15"/>
        <v>2.311666109192922E-3</v>
      </c>
    </row>
    <row r="130" spans="1:24" x14ac:dyDescent="0.2">
      <c r="U130" t="s">
        <v>147</v>
      </c>
      <c r="V130" s="29">
        <f>(1 + V129)^252 - 1</f>
        <v>-0.2060575792865591</v>
      </c>
      <c r="W130" s="29">
        <f t="shared" ref="W130:X130" si="16">(1 + W129)^252 - 1</f>
        <v>0.39111422654357364</v>
      </c>
      <c r="X130" s="29">
        <f t="shared" si="16"/>
        <v>0.78937711089876061</v>
      </c>
    </row>
  </sheetData>
  <mergeCells count="8">
    <mergeCell ref="O2:P2"/>
    <mergeCell ref="H2:I2"/>
    <mergeCell ref="A2:B2"/>
    <mergeCell ref="V1:X1"/>
    <mergeCell ref="AA1:AD1"/>
    <mergeCell ref="AA28:AE28"/>
    <mergeCell ref="AG31:AH31"/>
    <mergeCell ref="AH36:AI36"/>
  </mergeCells>
  <phoneticPr fontId="4" type="noConversion"/>
  <hyperlinks>
    <hyperlink ref="AD12" r:id="rId1" xr:uid="{05D31B77-3EED-624E-94D0-3F1FF10FC38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Assaad (Alumni)</dc:creator>
  <cp:lastModifiedBy>Anthony Assaad (Alumni)</cp:lastModifiedBy>
  <dcterms:created xsi:type="dcterms:W3CDTF">2025-02-28T12:39:52Z</dcterms:created>
  <dcterms:modified xsi:type="dcterms:W3CDTF">2025-03-06T11:23:17Z</dcterms:modified>
</cp:coreProperties>
</file>